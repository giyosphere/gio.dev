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Master List" sheetId="1" state="visible" r:id="rId3"/>
    <sheet name="PO Register" sheetId="2" state="visible" r:id="rId4"/>
    <sheet name="Goods Receipt Log" sheetId="3" state="visible" r:id="rId5"/>
    <sheet name="AP Payment Tracker" sheetId="4" state="visible" r:id="rId6"/>
    <sheet name="Supplier Scorecard" sheetId="5" state="visible" r:id="rId7"/>
    <sheet name="Procurement Dashboard" sheetId="6" state="visible" r:id="rId8"/>
  </sheets>
  <definedNames>
    <definedName function="false" hidden="true" localSheetId="3" name="_xlnm._FilterDatabase" vbProcedure="false">'AP Payment Tracker'!$A$3:$M$65</definedName>
    <definedName function="false" hidden="true" localSheetId="2" name="_xlnm._FilterDatabase" vbProcedure="false">'Goods Receipt Log'!$A$3:$N$61</definedName>
    <definedName function="false" hidden="true" localSheetId="1" name="_xlnm._FilterDatabase" vbProcedure="false">'PO Register'!$A$3:$R$176</definedName>
    <definedName function="false" hidden="true" localSheetId="0" name="_xlnm._FilterDatabase" vbProcedure="false">'Supplier Master List'!$A$3:$N$43</definedName>
    <definedName function="false" hidden="true" localSheetId="4" name="_xlnm._FilterDatabase" vbProcedure="false">'Supplier Scorecard'!$A$3:$L$43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<sst xmlns="http://schemas.openxmlformats.org/spreadsheetml/2006/main" count="3408" uniqueCount="1250">
  <si>
    <t xml:space="preserve">🏭  Pinnacle Construction &amp; Development Corporation — SUPPLIER MASTER LIST</t>
  </si>
  <si>
    <t xml:space="preserve">Accredited Vendors &amp; Contractors  ·  Procurement Division  ·  As of 2024–2026</t>
  </si>
  <si>
    <t xml:space="preserve">Supplier ID</t>
  </si>
  <si>
    <t xml:space="preserve">Company Name</t>
  </si>
  <si>
    <t xml:space="preserve">Category</t>
  </si>
  <si>
    <t xml:space="preserve">Head Office Address</t>
  </si>
  <si>
    <t xml:space="preserve">Contact Person</t>
  </si>
  <si>
    <t xml:space="preserve">Phone</t>
  </si>
  <si>
    <t xml:space="preserve">Email Address</t>
  </si>
  <si>
    <t xml:space="preserve">TIN</t>
  </si>
  <si>
    <t xml:space="preserve">Payment Terms</t>
  </si>
  <si>
    <t xml:space="preserve">Credit Limit (₱K)</t>
  </si>
  <si>
    <t xml:space="preserve">Performance Rating</t>
  </si>
  <si>
    <t xml:space="preserve">Status</t>
  </si>
  <si>
    <t xml:space="preserve">Lead Days</t>
  </si>
  <si>
    <t xml:space="preserve">Currency</t>
  </si>
  <si>
    <t xml:space="preserve">SUP-001</t>
  </si>
  <si>
    <t xml:space="preserve">Holcim Philippines Inc.</t>
  </si>
  <si>
    <t xml:space="preserve">Cement &amp; Concrete</t>
  </si>
  <si>
    <t xml:space="preserve">3rd Fl., 8 Rockwell, Makati City</t>
  </si>
  <si>
    <t xml:space="preserve">Engr. Ramon Dela Cruz</t>
  </si>
  <si>
    <t xml:space="preserve">(02) 8898-1000</t>
  </si>
  <si>
    <t xml:space="preserve">sales.ph@holcim.com</t>
  </si>
  <si>
    <t xml:space="preserve">000-123-456-000</t>
  </si>
  <si>
    <t xml:space="preserve">30 Days Net</t>
  </si>
  <si>
    <t xml:space="preserve">⭐⭐⭐⭐⭐ Excellent</t>
  </si>
  <si>
    <t xml:space="preserve">✅ Active</t>
  </si>
  <si>
    <t xml:space="preserve">PHP</t>
  </si>
  <si>
    <t xml:space="preserve">SUP-002</t>
  </si>
  <si>
    <t xml:space="preserve">Republic Cement &amp; Building Materials Inc.</t>
  </si>
  <si>
    <t xml:space="preserve">28F Burgundy Corporate Tower, Ortigas, Pasig</t>
  </si>
  <si>
    <t xml:space="preserve">Ms. Carla Reyes</t>
  </si>
  <si>
    <t xml:space="preserve">(02) 8634-2000</t>
  </si>
  <si>
    <t xml:space="preserve">procurement@republiccement.com</t>
  </si>
  <si>
    <t xml:space="preserve">000-234-567-000</t>
  </si>
  <si>
    <t xml:space="preserve">45 Days Net</t>
  </si>
  <si>
    <t xml:space="preserve">⭐⭐⭐⭐ Good</t>
  </si>
  <si>
    <t xml:space="preserve">SUP-003</t>
  </si>
  <si>
    <t xml:space="preserve">CEMEX Holdings Philippines Inc.</t>
  </si>
  <si>
    <t xml:space="preserve">7F 1880 Eastwood Ave., Libis, QC</t>
  </si>
  <si>
    <t xml:space="preserve">Mr. Jose Santos</t>
  </si>
  <si>
    <t xml:space="preserve">(02) 8884-1000</t>
  </si>
  <si>
    <t xml:space="preserve">info.ph@cemex.com</t>
  </si>
  <si>
    <t xml:space="preserve">000-345-678-000</t>
  </si>
  <si>
    <t xml:space="preserve">SUP-004</t>
  </si>
  <si>
    <t xml:space="preserve">SteelAsia Manufacturing Corporation</t>
  </si>
  <si>
    <t xml:space="preserve">Steel &amp; Metal</t>
  </si>
  <si>
    <t xml:space="preserve">54 Eulogio Rodriguez Jr. Ave., Quezon City</t>
  </si>
  <si>
    <t xml:space="preserve">Engr. Patrick Lim</t>
  </si>
  <si>
    <t xml:space="preserve">(02) 8911-0000</t>
  </si>
  <si>
    <t xml:space="preserve">sales@steelasia.com</t>
  </si>
  <si>
    <t xml:space="preserve">000-456-789-000</t>
  </si>
  <si>
    <t xml:space="preserve">SUP-005</t>
  </si>
  <si>
    <t xml:space="preserve">Capital Steel Corporation</t>
  </si>
  <si>
    <t xml:space="preserve">Pinagbuhatan, Pasig City</t>
  </si>
  <si>
    <t xml:space="preserve">Mr. Benjamin Tan</t>
  </si>
  <si>
    <t xml:space="preserve">(02) 8641-5555</t>
  </si>
  <si>
    <t xml:space="preserve">info@capitalsteel.com.ph</t>
  </si>
  <si>
    <t xml:space="preserve">000-567-890-000</t>
  </si>
  <si>
    <t xml:space="preserve">SUP-006</t>
  </si>
  <si>
    <t xml:space="preserve">Peerless Metal Industries Inc.</t>
  </si>
  <si>
    <t xml:space="preserve">101 A. Bonifacio Ave., Mandaluyong</t>
  </si>
  <si>
    <t xml:space="preserve">Ms. Rowena Garcia</t>
  </si>
  <si>
    <t xml:space="preserve">(02) 8532-1234</t>
  </si>
  <si>
    <t xml:space="preserve">sales@peerlessmetal.ph</t>
  </si>
  <si>
    <t xml:space="preserve">000-678-901-000</t>
  </si>
  <si>
    <t xml:space="preserve">⭐⭐⭐ Fair</t>
  </si>
  <si>
    <t xml:space="preserve">SUP-007</t>
  </si>
  <si>
    <t xml:space="preserve">Wilcon Depot Inc.</t>
  </si>
  <si>
    <t xml:space="preserve">Hardware &amp; Tools</t>
  </si>
  <si>
    <t xml:space="preserve">No. 60 E. Rodriguez Sr. Ave., QC</t>
  </si>
  <si>
    <t xml:space="preserve">Mr. Eduardo Cruz</t>
  </si>
  <si>
    <t xml:space="preserve">(02) 8911-5555</t>
  </si>
  <si>
    <t xml:space="preserve">corporate@wilcon.com.ph</t>
  </si>
  <si>
    <t xml:space="preserve">000-789-012-000</t>
  </si>
  <si>
    <t xml:space="preserve">SUP-008</t>
  </si>
  <si>
    <t xml:space="preserve">Ace Hardware Philippines Inc.</t>
  </si>
  <si>
    <t xml:space="preserve">Robinsons Galleria, Ortigas, Pasig</t>
  </si>
  <si>
    <t xml:space="preserve">Ms. Maria Fernandez</t>
  </si>
  <si>
    <t xml:space="preserve">(02) 8631-4567</t>
  </si>
  <si>
    <t xml:space="preserve">corporate@acehardware.ph</t>
  </si>
  <si>
    <t xml:space="preserve">000-890-123-000</t>
  </si>
  <si>
    <t xml:space="preserve">SUP-009</t>
  </si>
  <si>
    <t xml:space="preserve">Schneider Electric Philippines Inc.</t>
  </si>
  <si>
    <t xml:space="preserve">Electrical &amp; Mechanical</t>
  </si>
  <si>
    <t xml:space="preserve">5F 6750 Ayala Ave., Makati</t>
  </si>
  <si>
    <t xml:space="preserve">Engr. Allan Mendoza</t>
  </si>
  <si>
    <t xml:space="preserve">(02) 8888-5900</t>
  </si>
  <si>
    <t xml:space="preserve">info.ph@se.com</t>
  </si>
  <si>
    <t xml:space="preserve">000-901-234-000</t>
  </si>
  <si>
    <t xml:space="preserve">SUP-010</t>
  </si>
  <si>
    <t xml:space="preserve">Siemens Philippines Inc.</t>
  </si>
  <si>
    <t xml:space="preserve">30F GT Tower, Ayala Ave., Makati</t>
  </si>
  <si>
    <t xml:space="preserve">Engr. Cristina Villanueva</t>
  </si>
  <si>
    <t xml:space="preserve">(02) 8819-7000</t>
  </si>
  <si>
    <t xml:space="preserve">info@siemens.com.ph</t>
  </si>
  <si>
    <t xml:space="preserve">001-012-345-000</t>
  </si>
  <si>
    <t xml:space="preserve">SUP-011</t>
  </si>
  <si>
    <t xml:space="preserve">ABB Philippines Inc.</t>
  </si>
  <si>
    <t xml:space="preserve">14F Zuellig Bldg, Makati Ave., Makati</t>
  </si>
  <si>
    <t xml:space="preserve">Mr. Marco Torres</t>
  </si>
  <si>
    <t xml:space="preserve">(02) 8555-1234</t>
  </si>
  <si>
    <t xml:space="preserve">abb.ph@ph.abb.com</t>
  </si>
  <si>
    <t xml:space="preserve">001-123-456-000</t>
  </si>
  <si>
    <t xml:space="preserve">SUP-012</t>
  </si>
  <si>
    <t xml:space="preserve">Legrand Philippines Inc.</t>
  </si>
  <si>
    <t xml:space="preserve">Unit 2, 1322 Apolinario St., Makati</t>
  </si>
  <si>
    <t xml:space="preserve">Ms. Joyce Castillo</t>
  </si>
  <si>
    <t xml:space="preserve">(02) 8899-7777</t>
  </si>
  <si>
    <t xml:space="preserve">info@legrand.ph</t>
  </si>
  <si>
    <t xml:space="preserve">001-234-567-000</t>
  </si>
  <si>
    <t xml:space="preserve">SUP-013</t>
  </si>
  <si>
    <t xml:space="preserve">3M Philippines Inc.</t>
  </si>
  <si>
    <t xml:space="preserve">Safety Equipment</t>
  </si>
  <si>
    <t xml:space="preserve">3M Center, Bonifacio Global City, Taguig</t>
  </si>
  <si>
    <t xml:space="preserve">Ms. Angela Ramos</t>
  </si>
  <si>
    <t xml:space="preserve">(02) 8818-3000</t>
  </si>
  <si>
    <t xml:space="preserve">ph.info@mmm.com</t>
  </si>
  <si>
    <t xml:space="preserve">001-345-678-000</t>
  </si>
  <si>
    <t xml:space="preserve">SUP-014</t>
  </si>
  <si>
    <t xml:space="preserve">Honeywell Philippines Inc.</t>
  </si>
  <si>
    <t xml:space="preserve">18F Ayala Triangle, Paseo de Roxas, Makati</t>
  </si>
  <si>
    <t xml:space="preserve">Mr. Victor Bautista</t>
  </si>
  <si>
    <t xml:space="preserve">(02) 8867-4444</t>
  </si>
  <si>
    <t xml:space="preserve">info.ph@honeywell.com</t>
  </si>
  <si>
    <t xml:space="preserve">001-456-789-000</t>
  </si>
  <si>
    <t xml:space="preserve">SUP-015</t>
  </si>
  <si>
    <t xml:space="preserve">Petron Corporation</t>
  </si>
  <si>
    <t xml:space="preserve">Fuel &amp; Lubricants</t>
  </si>
  <si>
    <t xml:space="preserve">Petron Megaplaza, Makati City</t>
  </si>
  <si>
    <t xml:space="preserve">Mr. Rodrigo Soriano</t>
  </si>
  <si>
    <t xml:space="preserve">(02) 8884-5555</t>
  </si>
  <si>
    <t xml:space="preserve">corporate@petron.com</t>
  </si>
  <si>
    <t xml:space="preserve">001-567-890-000</t>
  </si>
  <si>
    <t xml:space="preserve">15 Days Net</t>
  </si>
  <si>
    <t xml:space="preserve">SUP-016</t>
  </si>
  <si>
    <t xml:space="preserve">Shell Philippines Exploration B.V.</t>
  </si>
  <si>
    <t xml:space="preserve">156 Valero St., Salcedo Vill., Makati</t>
  </si>
  <si>
    <t xml:space="preserve">Ms. Grace Aquino</t>
  </si>
  <si>
    <t xml:space="preserve">(02) 8884-8888</t>
  </si>
  <si>
    <t xml:space="preserve">shellph@shell.com</t>
  </si>
  <si>
    <t xml:space="preserve">001-678-901-000</t>
  </si>
  <si>
    <t xml:space="preserve">SUP-017</t>
  </si>
  <si>
    <t xml:space="preserve">Chevron Philippines Inc.</t>
  </si>
  <si>
    <t xml:space="preserve">6750 Ayala Ave., Makati City</t>
  </si>
  <si>
    <t xml:space="preserve">Mr. Dennis Pascual</t>
  </si>
  <si>
    <t xml:space="preserve">(02) 8815-5000</t>
  </si>
  <si>
    <t xml:space="preserve">info.ph@chevron.com</t>
  </si>
  <si>
    <t xml:space="preserve">001-789-012-000</t>
  </si>
  <si>
    <t xml:space="preserve">SUP-018</t>
  </si>
  <si>
    <t xml:space="preserve">HP Philippines Inc.</t>
  </si>
  <si>
    <t xml:space="preserve">IT Equipment</t>
  </si>
  <si>
    <t xml:space="preserve">31F Rufino Pacific Tower, Makati</t>
  </si>
  <si>
    <t xml:space="preserve">Ms. Karen Dela Torre</t>
  </si>
  <si>
    <t xml:space="preserve">(02) 8888-9090</t>
  </si>
  <si>
    <t xml:space="preserve">hp.ph@hp.com</t>
  </si>
  <si>
    <t xml:space="preserve">001-890-123-000</t>
  </si>
  <si>
    <t xml:space="preserve">SUP-019</t>
  </si>
  <si>
    <t xml:space="preserve">Dell Technologies Philippines</t>
  </si>
  <si>
    <t xml:space="preserve">8F Ayala Northexchange, Quezon Ave., QC</t>
  </si>
  <si>
    <t xml:space="preserve">Mr. Alvin Lorenzo</t>
  </si>
  <si>
    <t xml:space="preserve">(02) 8861-0700</t>
  </si>
  <si>
    <t xml:space="preserve">dell.ph@dell.com</t>
  </si>
  <si>
    <t xml:space="preserve">001-901-234-000</t>
  </si>
  <si>
    <t xml:space="preserve">SUP-020</t>
  </si>
  <si>
    <t xml:space="preserve">Lenovo Philippines</t>
  </si>
  <si>
    <t xml:space="preserve">23F 8 Rockwell, Makati City</t>
  </si>
  <si>
    <t xml:space="preserve">Ms. Shirley Mendoza</t>
  </si>
  <si>
    <t xml:space="preserve">(02) 8403-7000</t>
  </si>
  <si>
    <t xml:space="preserve">lenovo.ph@lenovo.com</t>
  </si>
  <si>
    <t xml:space="preserve">002-012-345-000</t>
  </si>
  <si>
    <t xml:space="preserve">SUP-021</t>
  </si>
  <si>
    <t xml:space="preserve">Canon Marketing Philippines Inc.</t>
  </si>
  <si>
    <t xml:space="preserve">20F Robinsons Equitable Tower, Ortigas</t>
  </si>
  <si>
    <t xml:space="preserve">Engr. Jason Navarro</t>
  </si>
  <si>
    <t xml:space="preserve">(02) 8633-9999</t>
  </si>
  <si>
    <t xml:space="preserve">canon.ph@canon.com.ph</t>
  </si>
  <si>
    <t xml:space="preserve">002-123-456-000</t>
  </si>
  <si>
    <t xml:space="preserve">SUP-022</t>
  </si>
  <si>
    <t xml:space="preserve">Epson Philippines Corporation</t>
  </si>
  <si>
    <t xml:space="preserve">8F Robinsons Cybergate, Mandaluyong</t>
  </si>
  <si>
    <t xml:space="preserve">Ms. Michelle Uy</t>
  </si>
  <si>
    <t xml:space="preserve">(02) 8706-2659</t>
  </si>
  <si>
    <t xml:space="preserve">epson.ph@epson.com.ph</t>
  </si>
  <si>
    <t xml:space="preserve">002-234-567-000</t>
  </si>
  <si>
    <t xml:space="preserve">SUP-023</t>
  </si>
  <si>
    <t xml:space="preserve">National Book Store Inc.</t>
  </si>
  <si>
    <t xml:space="preserve">Office Supplies</t>
  </si>
  <si>
    <t xml:space="preserve">Quad Alpha Centrum, Shaw Blvd., Mandaluyong</t>
  </si>
  <si>
    <t xml:space="preserve">Ms. Rowena Villanueva</t>
  </si>
  <si>
    <t xml:space="preserve">(02) 8631-7700</t>
  </si>
  <si>
    <t xml:space="preserve">corporate@nbs.ph</t>
  </si>
  <si>
    <t xml:space="preserve">002-345-678-000</t>
  </si>
  <si>
    <t xml:space="preserve">SUP-024</t>
  </si>
  <si>
    <t xml:space="preserve">Goldilocks Bookware &amp; Office Supply</t>
  </si>
  <si>
    <t xml:space="preserve">1168 Paz Guanzon St., Paco, Manila</t>
  </si>
  <si>
    <t xml:space="preserve">Mr. Frederick Santos</t>
  </si>
  <si>
    <t xml:space="preserve">(02) 8563-2222</t>
  </si>
  <si>
    <t xml:space="preserve">office@goldilocks.com.ph</t>
  </si>
  <si>
    <t xml:space="preserve">002-456-789-000</t>
  </si>
  <si>
    <t xml:space="preserve">SUP-025</t>
  </si>
  <si>
    <t xml:space="preserve">PLDT Inc.</t>
  </si>
  <si>
    <t xml:space="preserve">Telecommunications</t>
  </si>
  <si>
    <t xml:space="preserve">Ramon Cojuangco Bldg., Makati Ave., Makati</t>
  </si>
  <si>
    <t xml:space="preserve">Ms. Elaine Reyes</t>
  </si>
  <si>
    <t xml:space="preserve">(02) 8816-5300</t>
  </si>
  <si>
    <t xml:space="preserve">enterprise@pldt.com</t>
  </si>
  <si>
    <t xml:space="preserve">002-567-890-000</t>
  </si>
  <si>
    <t xml:space="preserve">SUP-026</t>
  </si>
  <si>
    <t xml:space="preserve">Globe Telecom Inc.</t>
  </si>
  <si>
    <t xml:space="preserve">The Globe Tower, BGC, Taguig</t>
  </si>
  <si>
    <t xml:space="preserve">Mr. Ronald Cruz</t>
  </si>
  <si>
    <t xml:space="preserve">(02) 8730-1288</t>
  </si>
  <si>
    <t xml:space="preserve">business@globe.com.ph</t>
  </si>
  <si>
    <t xml:space="preserve">002-678-901-000</t>
  </si>
  <si>
    <t xml:space="preserve">SUP-027</t>
  </si>
  <si>
    <t xml:space="preserve">Meralco (Manila Electric Company)</t>
  </si>
  <si>
    <t xml:space="preserve">Utilities</t>
  </si>
  <si>
    <t xml:space="preserve">Lopez Bldg., Meralco Ave., Ortigas, Pasig</t>
  </si>
  <si>
    <t xml:space="preserve">Ms. Analiza Fernandez</t>
  </si>
  <si>
    <t xml:space="preserve">(02) 8672-5311</t>
  </si>
  <si>
    <t xml:space="preserve">corporate@meralco.com.ph</t>
  </si>
  <si>
    <t xml:space="preserve">002-789-012-000</t>
  </si>
  <si>
    <t xml:space="preserve">SUP-028</t>
  </si>
  <si>
    <t xml:space="preserve">Maynilad Water Services Inc.</t>
  </si>
  <si>
    <t xml:space="preserve">MWSS Compound, Balara, QC</t>
  </si>
  <si>
    <t xml:space="preserve">Mr. Gilbert Torres</t>
  </si>
  <si>
    <t xml:space="preserve">(02) 8981-6400</t>
  </si>
  <si>
    <t xml:space="preserve">maynilad@maynilad.com.ph</t>
  </si>
  <si>
    <t xml:space="preserve">002-890-123-000</t>
  </si>
  <si>
    <t xml:space="preserve">SUP-029</t>
  </si>
  <si>
    <t xml:space="preserve">Lafarge Republic Inc.</t>
  </si>
  <si>
    <t xml:space="preserve">23F GT Tower, Ayala Ave., Makati</t>
  </si>
  <si>
    <t xml:space="preserve">Engr. Benedicto Ramos</t>
  </si>
  <si>
    <t xml:space="preserve">(02) 8811-1000</t>
  </si>
  <si>
    <t xml:space="preserve">lafarge.ph@lafarge.com</t>
  </si>
  <si>
    <t xml:space="preserve">002-901-234-000</t>
  </si>
  <si>
    <t xml:space="preserve">SUP-030</t>
  </si>
  <si>
    <t xml:space="preserve">Pacific Paint (Boysen) Philippines Inc.</t>
  </si>
  <si>
    <t xml:space="preserve">Construction Materials</t>
  </si>
  <si>
    <t xml:space="preserve">66 Industrial Road, Mandaluyong</t>
  </si>
  <si>
    <t xml:space="preserve">Ms. Sandra Castillo</t>
  </si>
  <si>
    <t xml:space="preserve">(02) 8531-3456</t>
  </si>
  <si>
    <t xml:space="preserve">boysen@boysen.com.ph</t>
  </si>
  <si>
    <t xml:space="preserve">003-012-345-000</t>
  </si>
  <si>
    <t xml:space="preserve">SUP-031</t>
  </si>
  <si>
    <t xml:space="preserve">Davies Paints Philippines Inc.</t>
  </si>
  <si>
    <t xml:space="preserve">76 San Rafael St., Mandaluyong</t>
  </si>
  <si>
    <t xml:space="preserve">Mr. Arnold Bautista</t>
  </si>
  <si>
    <t xml:space="preserve">(02) 8532-8888</t>
  </si>
  <si>
    <t xml:space="preserve">davies@davies.com.ph</t>
  </si>
  <si>
    <t xml:space="preserve">003-123-456-000</t>
  </si>
  <si>
    <t xml:space="preserve">SUP-032</t>
  </si>
  <si>
    <t xml:space="preserve">Neltex Development Co. Inc.</t>
  </si>
  <si>
    <t xml:space="preserve">Km 19 West Service Rd., Paranaque</t>
  </si>
  <si>
    <t xml:space="preserve">Engr. Evelyn Dela Cruz</t>
  </si>
  <si>
    <t xml:space="preserve">(02) 8829-7890</t>
  </si>
  <si>
    <t xml:space="preserve">neltex@neltex.com.ph</t>
  </si>
  <si>
    <t xml:space="preserve">003-234-567-000</t>
  </si>
  <si>
    <t xml:space="preserve">SUP-033</t>
  </si>
  <si>
    <t xml:space="preserve">Vyniles Corporation Philippines</t>
  </si>
  <si>
    <t xml:space="preserve">Km 14, East Service Rd., Paranaque</t>
  </si>
  <si>
    <t xml:space="preserve">Mr. Samuel Garcia</t>
  </si>
  <si>
    <t xml:space="preserve">(02) 8829-5678</t>
  </si>
  <si>
    <t xml:space="preserve">vyniles@vyniles.ph</t>
  </si>
  <si>
    <t xml:space="preserve">003-345-678-000</t>
  </si>
  <si>
    <t xml:space="preserve">⚠ Probation</t>
  </si>
  <si>
    <t xml:space="preserve">SUP-034</t>
  </si>
  <si>
    <t xml:space="preserve">Dowell Schlumberger Philippines</t>
  </si>
  <si>
    <t xml:space="preserve">Engineering Services</t>
  </si>
  <si>
    <t xml:space="preserve">19F Petron Megaplaza, Makati</t>
  </si>
  <si>
    <t xml:space="preserve">Engr. Maricel Santos</t>
  </si>
  <si>
    <t xml:space="preserve">(02) 8819-8000</t>
  </si>
  <si>
    <t xml:space="preserve">ph@slb.com</t>
  </si>
  <si>
    <t xml:space="preserve">003-456-789-000</t>
  </si>
  <si>
    <t xml:space="preserve">SUP-035</t>
  </si>
  <si>
    <t xml:space="preserve">EEI Corporation</t>
  </si>
  <si>
    <t xml:space="preserve">EEI Bldg, Rodriguez Ave., Quezon City</t>
  </si>
  <si>
    <t xml:space="preserve">Mr. Roderick Mendoza</t>
  </si>
  <si>
    <t xml:space="preserve">(02) 8912-2100</t>
  </si>
  <si>
    <t xml:space="preserve">info@eei.com.ph</t>
  </si>
  <si>
    <t xml:space="preserve">003-567-890-000</t>
  </si>
  <si>
    <t xml:space="preserve">SUP-036</t>
  </si>
  <si>
    <t xml:space="preserve">Sta. Clara International Corporation</t>
  </si>
  <si>
    <t xml:space="preserve">SCIC Bldg, Ayala Ave., Makati</t>
  </si>
  <si>
    <t xml:space="preserve">Ms. Patricia Villanueva</t>
  </si>
  <si>
    <t xml:space="preserve">(02) 8812-1111</t>
  </si>
  <si>
    <t xml:space="preserve">info@staclaraintl.com</t>
  </si>
  <si>
    <t xml:space="preserve">003-678-901-000</t>
  </si>
  <si>
    <t xml:space="preserve">SUP-037</t>
  </si>
  <si>
    <t xml:space="preserve">Komatsu Philippines Inc.</t>
  </si>
  <si>
    <t xml:space="preserve">Heavy Equipment</t>
  </si>
  <si>
    <t xml:space="preserve">Komatsu Bldg, South Superhighway, Las Piñas</t>
  </si>
  <si>
    <t xml:space="preserve">Engr. Reynaldo Torres</t>
  </si>
  <si>
    <t xml:space="preserve">(02) 8807-5000</t>
  </si>
  <si>
    <t xml:space="preserve">info.ph@komatsu.com</t>
  </si>
  <si>
    <t xml:space="preserve">003-789-012-000</t>
  </si>
  <si>
    <t xml:space="preserve">USD</t>
  </si>
  <si>
    <t xml:space="preserve">SUP-038</t>
  </si>
  <si>
    <t xml:space="preserve">Volvo Financial Services Philippines</t>
  </si>
  <si>
    <t xml:space="preserve">20F RCBC Plaza, Makati City</t>
  </si>
  <si>
    <t xml:space="preserve">Mr. Henry Pascual</t>
  </si>
  <si>
    <t xml:space="preserve">(02) 8884-2222</t>
  </si>
  <si>
    <t xml:space="preserve">vfsphilippines@volvo.com</t>
  </si>
  <si>
    <t xml:space="preserve">003-890-123-000</t>
  </si>
  <si>
    <t xml:space="preserve">60 Days Net</t>
  </si>
  <si>
    <t xml:space="preserve">SUP-039</t>
  </si>
  <si>
    <t xml:space="preserve">Lafarge Holcim Trading Philippines</t>
  </si>
  <si>
    <t xml:space="preserve">Aggregates &amp; Sand</t>
  </si>
  <si>
    <t xml:space="preserve">One Corporate Centre, Julia Vargas, Ortigas</t>
  </si>
  <si>
    <t xml:space="preserve">Ms. Divina Aquino</t>
  </si>
  <si>
    <t xml:space="preserve">(02) 8706-9000</t>
  </si>
  <si>
    <t xml:space="preserve">aggregates.ph@holcimtrd.com</t>
  </si>
  <si>
    <t xml:space="preserve">003-901-234-000</t>
  </si>
  <si>
    <t xml:space="preserve">SUP-040</t>
  </si>
  <si>
    <t xml:space="preserve">Philippine Industrial Corporation</t>
  </si>
  <si>
    <t xml:space="preserve">Chemicals &amp; Sealants</t>
  </si>
  <si>
    <t xml:space="preserve">Calamba, Laguna</t>
  </si>
  <si>
    <t xml:space="preserve">Mr. Augusto Lorenzo</t>
  </si>
  <si>
    <t xml:space="preserve">(049) 545-1234</t>
  </si>
  <si>
    <t xml:space="preserve">pic@phindcorp.com</t>
  </si>
  <si>
    <t xml:space="preserve">004-012-345-000</t>
  </si>
  <si>
    <t xml:space="preserve">📋  Pinnacle Construction &amp; Development Corporation — PURCHASE ORDER REGISTER 2024–2026</t>
  </si>
  <si>
    <t xml:space="preserve">All Purchase Orders  ·  Procurement Division  ·  Reference: PCDC-PROC-2024 to 2026</t>
  </si>
  <si>
    <t xml:space="preserve">PO Number</t>
  </si>
  <si>
    <t xml:space="preserve">Supplier Name</t>
  </si>
  <si>
    <t xml:space="preserve">Description</t>
  </si>
  <si>
    <t xml:space="preserve">PO Date</t>
  </si>
  <si>
    <t xml:space="preserve">Required Delivery</t>
  </si>
  <si>
    <t xml:space="preserve">Qty</t>
  </si>
  <si>
    <t xml:space="preserve">Unit Cost (₱)</t>
  </si>
  <si>
    <t xml:space="preserve">Discount %</t>
  </si>
  <si>
    <t xml:space="preserve">Disc. Amount (₱)</t>
  </si>
  <si>
    <t xml:space="preserve">Subtotal (₱)</t>
  </si>
  <si>
    <t xml:space="preserve">VAT 12% (₱)</t>
  </si>
  <si>
    <t xml:space="preserve">Total PO Value (₱)</t>
  </si>
  <si>
    <t xml:space="preserve">Approved By</t>
  </si>
  <si>
    <t xml:space="preserve">PO Status</t>
  </si>
  <si>
    <t xml:space="preserve">Remarks</t>
  </si>
  <si>
    <t xml:space="preserve">PO-2024-001</t>
  </si>
  <si>
    <t xml:space="preserve">Portland Cement Type I (40kg bag)</t>
  </si>
  <si>
    <t xml:space="preserve">VP-Operations</t>
  </si>
  <si>
    <t xml:space="preserve">✅ Closed</t>
  </si>
  <si>
    <t xml:space="preserve">Site A - Foundation works</t>
  </si>
  <si>
    <t xml:space="preserve">PO-2024-002</t>
  </si>
  <si>
    <t xml:space="preserve">Deformed Steel Bar 10mm x 6m</t>
  </si>
  <si>
    <t xml:space="preserve">Site A - Rebar works</t>
  </si>
  <si>
    <t xml:space="preserve">PO-2024-003</t>
  </si>
  <si>
    <t xml:space="preserve">Deformed Steel Bar 12mm x 6m</t>
  </si>
  <si>
    <t xml:space="preserve">PO-2024-004</t>
  </si>
  <si>
    <t xml:space="preserve">Plywood Marine 1/2 inch (4x8ft)</t>
  </si>
  <si>
    <t xml:space="preserve">Procurement Mgr</t>
  </si>
  <si>
    <t xml:space="preserve">Formworks</t>
  </si>
  <si>
    <t xml:space="preserve">PO-2024-005</t>
  </si>
  <si>
    <t xml:space="preserve">Circuit Breaker 100A 3-Phase MCCB</t>
  </si>
  <si>
    <t xml:space="preserve">Electrical panel Site A</t>
  </si>
  <si>
    <t xml:space="preserve">PO-2024-006</t>
  </si>
  <si>
    <t xml:space="preserve">Safety Helmet (ANSI Z89.1)</t>
  </si>
  <si>
    <t xml:space="preserve">Safety Officer</t>
  </si>
  <si>
    <t xml:space="preserve">New hires PPE</t>
  </si>
  <si>
    <t xml:space="preserve">PO-2024-007</t>
  </si>
  <si>
    <t xml:space="preserve">Safety Vest High-Visibility XL</t>
  </si>
  <si>
    <t xml:space="preserve">PO-2024-008</t>
  </si>
  <si>
    <t xml:space="preserve">Diesel Fuel (Industrial Grade, liters)</t>
  </si>
  <si>
    <t xml:space="preserve">Admin Manager</t>
  </si>
  <si>
    <t xml:space="preserve">Equipment fuel Jan</t>
  </si>
  <si>
    <t xml:space="preserve">PO-2024-009</t>
  </si>
  <si>
    <t xml:space="preserve">Site A - Slab 2F</t>
  </si>
  <si>
    <t xml:space="preserve">PO-2024-010</t>
  </si>
  <si>
    <t xml:space="preserve">Washed Sand (cubic meter)</t>
  </si>
  <si>
    <t xml:space="preserve">Site A</t>
  </si>
  <si>
    <t xml:space="preserve">PO-2024-011</t>
  </si>
  <si>
    <t xml:space="preserve">Crushed Gravel 3/4 inch (cubic meter)</t>
  </si>
  <si>
    <t xml:space="preserve">PO-2024-012</t>
  </si>
  <si>
    <t xml:space="preserve">Deformed Steel Bar 16mm x 6m</t>
  </si>
  <si>
    <t xml:space="preserve">Site A - Columns</t>
  </si>
  <si>
    <t xml:space="preserve">PO-2024-013</t>
  </si>
  <si>
    <t xml:space="preserve">HP LaserJet Pro M404dn Printer</t>
  </si>
  <si>
    <t xml:space="preserve">IT Manager</t>
  </si>
  <si>
    <t xml:space="preserve">Office upgrade</t>
  </si>
  <si>
    <t xml:space="preserve">PO-2024-014</t>
  </si>
  <si>
    <t xml:space="preserve">Bond Paper A4 80gsm (ream)</t>
  </si>
  <si>
    <t xml:space="preserve">Admin Officer</t>
  </si>
  <si>
    <t xml:space="preserve">Q1 office supply</t>
  </si>
  <si>
    <t xml:space="preserve">PO-2024-015</t>
  </si>
  <si>
    <t xml:space="preserve">Ballpen Pilot G-2 (box of 12)</t>
  </si>
  <si>
    <t xml:space="preserve">PO-2024-016</t>
  </si>
  <si>
    <t xml:space="preserve">Unleaded Gasoline (liters)</t>
  </si>
  <si>
    <t xml:space="preserve">Company vehicles Feb</t>
  </si>
  <si>
    <t xml:space="preserve">PO-2024-017</t>
  </si>
  <si>
    <t xml:space="preserve">Load Break Switch 100A 3-Phase</t>
  </si>
  <si>
    <t xml:space="preserve">Main electrical Site A</t>
  </si>
  <si>
    <t xml:space="preserve">PO-2024-018</t>
  </si>
  <si>
    <t xml:space="preserve">Siemens SENTRON PAC3200 Power Meter</t>
  </si>
  <si>
    <t xml:space="preserve">Energy monitoring</t>
  </si>
  <si>
    <t xml:space="preserve">PO-2024-019</t>
  </si>
  <si>
    <t xml:space="preserve">Boysen Permacoat Flat White (4L)</t>
  </si>
  <si>
    <t xml:space="preserve">Site A - Painting</t>
  </si>
  <si>
    <t xml:space="preserve">PO-2024-020</t>
  </si>
  <si>
    <t xml:space="preserve">PVC Pipe 4 inch x 6m (S-1000)</t>
  </si>
  <si>
    <t xml:space="preserve">Plumbing rough-in</t>
  </si>
  <si>
    <t xml:space="preserve">PO-2024-021</t>
  </si>
  <si>
    <t xml:space="preserve">PVC Elbow 4 inch 90-degree</t>
  </si>
  <si>
    <t xml:space="preserve">PO-2024-022</t>
  </si>
  <si>
    <t xml:space="preserve">Komatsu PC200-10 Excavator (unit)</t>
  </si>
  <si>
    <t xml:space="preserve">CEO</t>
  </si>
  <si>
    <t xml:space="preserve">Site B capital equipment</t>
  </si>
  <si>
    <t xml:space="preserve">PO-2024-023</t>
  </si>
  <si>
    <t xml:space="preserve">Equipment fuel Mar</t>
  </si>
  <si>
    <t xml:space="preserve">PO-2024-024</t>
  </si>
  <si>
    <t xml:space="preserve">CEMEX Asenso Ready Mix Cement (40kg)</t>
  </si>
  <si>
    <t xml:space="preserve">Site B - Foundation</t>
  </si>
  <si>
    <t xml:space="preserve">PO-2024-025</t>
  </si>
  <si>
    <t xml:space="preserve">Steel C-Purlins 2x4 (6m)</t>
  </si>
  <si>
    <t xml:space="preserve">Roofing structure</t>
  </si>
  <si>
    <t xml:space="preserve">PO-2024-026</t>
  </si>
  <si>
    <t xml:space="preserve">Galvanized Iron Roof Sheet G26 (4m)</t>
  </si>
  <si>
    <t xml:space="preserve">Site A roofing</t>
  </si>
  <si>
    <t xml:space="preserve">PO-2024-027</t>
  </si>
  <si>
    <t xml:space="preserve">Legrand Mosaic Switch 2-gang</t>
  </si>
  <si>
    <t xml:space="preserve">Interior electrical</t>
  </si>
  <si>
    <t xml:space="preserve">PO-2024-028</t>
  </si>
  <si>
    <t xml:space="preserve">Legrand Socket Outlet 3-pin</t>
  </si>
  <si>
    <t xml:space="preserve">PO-2024-029</t>
  </si>
  <si>
    <t xml:space="preserve">Honeywell BW Clip4 Gas Detector</t>
  </si>
  <si>
    <t xml:space="preserve">Confined space works</t>
  </si>
  <si>
    <t xml:space="preserve">PO-2024-030</t>
  </si>
  <si>
    <t xml:space="preserve">Arch Lever File (box of 10)</t>
  </si>
  <si>
    <t xml:space="preserve">Q2 office supply</t>
  </si>
  <si>
    <t xml:space="preserve">PO-2024-031</t>
  </si>
  <si>
    <t xml:space="preserve">Dell OptiPlex 7010 Desktop PC</t>
  </si>
  <si>
    <t xml:space="preserve">Finance dept upgrade</t>
  </si>
  <si>
    <t xml:space="preserve">PO-2024-032</t>
  </si>
  <si>
    <t xml:space="preserve">Holcim Wallright Masonry Cement 40kg</t>
  </si>
  <si>
    <t xml:space="preserve">Site B - Block laying</t>
  </si>
  <si>
    <t xml:space="preserve">PO-2024-033</t>
  </si>
  <si>
    <t xml:space="preserve">Site B</t>
  </si>
  <si>
    <t xml:space="preserve">PO-2024-034</t>
  </si>
  <si>
    <t xml:space="preserve">Deformed Steel Bar 20mm x 6m (High Tensile)</t>
  </si>
  <si>
    <t xml:space="preserve">Site B - Girder</t>
  </si>
  <si>
    <t xml:space="preserve">PO-2024-035</t>
  </si>
  <si>
    <t xml:space="preserve">Schneider iC60N 63A MCB 3P</t>
  </si>
  <si>
    <t xml:space="preserve">Distribution boards</t>
  </si>
  <si>
    <t xml:space="preserve">PO-2024-036</t>
  </si>
  <si>
    <t xml:space="preserve">Diesel Fuel Shell V-Power Nitro+</t>
  </si>
  <si>
    <t xml:space="preserve">Executive vehicles</t>
  </si>
  <si>
    <t xml:space="preserve">PO-2024-037</t>
  </si>
  <si>
    <t xml:space="preserve">3M Peltor Ear Muff H10A</t>
  </si>
  <si>
    <t xml:space="preserve">Noise PPE</t>
  </si>
  <si>
    <t xml:space="preserve">PO-2024-038</t>
  </si>
  <si>
    <t xml:space="preserve">3M 6200 Half-Face Respirator</t>
  </si>
  <si>
    <t xml:space="preserve">Dust PPE</t>
  </si>
  <si>
    <t xml:space="preserve">PO-2024-039</t>
  </si>
  <si>
    <t xml:space="preserve">Lenovo ThinkPad E15 Gen5 Laptop</t>
  </si>
  <si>
    <t xml:space="preserve">Engineers' laptops</t>
  </si>
  <si>
    <t xml:space="preserve">PO-2024-040</t>
  </si>
  <si>
    <t xml:space="preserve">Canon imageCLASS MF752Cdw MFP</t>
  </si>
  <si>
    <t xml:space="preserve">Color MFP rollout</t>
  </si>
  <si>
    <t xml:space="preserve">PO-2024-041</t>
  </si>
  <si>
    <t xml:space="preserve">Boysen Skim Coat 25kg (bag)</t>
  </si>
  <si>
    <t xml:space="preserve">Site A - Finishing</t>
  </si>
  <si>
    <t xml:space="preserve">PO-2024-042</t>
  </si>
  <si>
    <t xml:space="preserve">Davies Weathercoat Exterior Paint 4L</t>
  </si>
  <si>
    <t xml:space="preserve">Site A - Exterior</t>
  </si>
  <si>
    <t xml:space="preserve">PO-2024-043</t>
  </si>
  <si>
    <t xml:space="preserve">Equipment fuel Jun</t>
  </si>
  <si>
    <t xml:space="preserve">PO-2024-044</t>
  </si>
  <si>
    <t xml:space="preserve">Bond Paper Legal 80gsm (ream)</t>
  </si>
  <si>
    <t xml:space="preserve">Q3 office supply</t>
  </si>
  <si>
    <t xml:space="preserve">PO-2024-045</t>
  </si>
  <si>
    <t xml:space="preserve">Republic Cement Premium OPC 40kg</t>
  </si>
  <si>
    <t xml:space="preserve">Site B - 3F slab</t>
  </si>
  <si>
    <t xml:space="preserve">PO-2024-046</t>
  </si>
  <si>
    <t xml:space="preserve">Wire Mesh 4mm x 100mm (2.4x6m)</t>
  </si>
  <si>
    <t xml:space="preserve">Slab reinforcement</t>
  </si>
  <si>
    <t xml:space="preserve">PO-2024-047</t>
  </si>
  <si>
    <t xml:space="preserve">ABB Transformer 500kVA 13.8kV/400V</t>
  </si>
  <si>
    <t xml:space="preserve">Site B main transformer</t>
  </si>
  <si>
    <t xml:space="preserve">PO-2024-048</t>
  </si>
  <si>
    <t xml:space="preserve">Grinding Disc 4.5in (box of 25)</t>
  </si>
  <si>
    <t xml:space="preserve">Steel cutting works</t>
  </si>
  <si>
    <t xml:space="preserve">PO-2024-049</t>
  </si>
  <si>
    <t xml:space="preserve">Cut-off Disc 14in (box of 10)</t>
  </si>
  <si>
    <t xml:space="preserve">PO-2024-050</t>
  </si>
  <si>
    <t xml:space="preserve">Meralco Temporary Power Connection Fee</t>
  </si>
  <si>
    <t xml:space="preserve">Site B power connection</t>
  </si>
  <si>
    <t xml:space="preserve">PO-2024-051</t>
  </si>
  <si>
    <t xml:space="preserve">Diesel Fuel (Industrial liters)</t>
  </si>
  <si>
    <t xml:space="preserve">Equipment fuel Jul</t>
  </si>
  <si>
    <t xml:space="preserve">PO-2024-052</t>
  </si>
  <si>
    <t xml:space="preserve">Schneider EasyPact MVS 800A ACB</t>
  </si>
  <si>
    <t xml:space="preserve">Main switchboard</t>
  </si>
  <si>
    <t xml:space="preserve">PO-2024-053</t>
  </si>
  <si>
    <t xml:space="preserve">3M Safety Goggles GoggleGear 500</t>
  </si>
  <si>
    <t xml:space="preserve">Eye protection renewal</t>
  </si>
  <si>
    <t xml:space="preserve">PO-2024-054</t>
  </si>
  <si>
    <t xml:space="preserve">CEMEX Ready Mix Concrete 3000 PSI (m3)</t>
  </si>
  <si>
    <t xml:space="preserve">Site C - Foundation pour</t>
  </si>
  <si>
    <t xml:space="preserve">PO-2024-055</t>
  </si>
  <si>
    <t xml:space="preserve">Crushed Gravel 1.5 inch (cubic meter)</t>
  </si>
  <si>
    <t xml:space="preserve">Site C sub-base</t>
  </si>
  <si>
    <t xml:space="preserve">PO-2024-056</t>
  </si>
  <si>
    <t xml:space="preserve">Dell PowerEdge R750 Server</t>
  </si>
  <si>
    <t xml:space="preserve">Data center upgrade</t>
  </si>
  <si>
    <t xml:space="preserve">PO-2024-057</t>
  </si>
  <si>
    <t xml:space="preserve">Toner Cartridge HP 85A (box of 6)</t>
  </si>
  <si>
    <t xml:space="preserve">Printers consumables</t>
  </si>
  <si>
    <t xml:space="preserve">PO-2024-058</t>
  </si>
  <si>
    <t xml:space="preserve">Equipment fuel Aug</t>
  </si>
  <si>
    <t xml:space="preserve">PO-2024-059</t>
  </si>
  <si>
    <t xml:space="preserve">Steel H-Beam 200x200mm (12m)</t>
  </si>
  <si>
    <t xml:space="preserve">Site C - Structural frame</t>
  </si>
  <si>
    <t xml:space="preserve">PO-2024-060</t>
  </si>
  <si>
    <t xml:space="preserve">EEI Civil Works - Site C Foundation</t>
  </si>
  <si>
    <t xml:space="preserve">Subcontract Site C</t>
  </si>
  <si>
    <t xml:space="preserve">PO-2024-061</t>
  </si>
  <si>
    <t xml:space="preserve">Waterproofing Compound 25L</t>
  </si>
  <si>
    <t xml:space="preserve">Site B basement waterproof</t>
  </si>
  <si>
    <t xml:space="preserve">PO-2024-062</t>
  </si>
  <si>
    <t xml:space="preserve">Epoxy Floor Coating 4L</t>
  </si>
  <si>
    <t xml:space="preserve">Site A parking level</t>
  </si>
  <si>
    <t xml:space="preserve">PO-2024-063</t>
  </si>
  <si>
    <t xml:space="preserve">Honeywell Fall Arrest Harness</t>
  </si>
  <si>
    <t xml:space="preserve">High-rise PPE Site C</t>
  </si>
  <si>
    <t xml:space="preserve">PO-2024-064</t>
  </si>
  <si>
    <t xml:space="preserve">PLDT Fiber Business Internet 1Gbps (12mo)</t>
  </si>
  <si>
    <t xml:space="preserve">Site office connectivity</t>
  </si>
  <si>
    <t xml:space="preserve">PO-2024-065</t>
  </si>
  <si>
    <t xml:space="preserve">Equipment fuel Sep</t>
  </si>
  <si>
    <t xml:space="preserve">PO-2024-066</t>
  </si>
  <si>
    <t xml:space="preserve">Holcim Solido Mastercem OPC 40kg</t>
  </si>
  <si>
    <t xml:space="preserve">Site C - 2F works</t>
  </si>
  <si>
    <t xml:space="preserve">PO-2024-067</t>
  </si>
  <si>
    <t xml:space="preserve">Deformed Steel Bar 25mm x 6m (High Tensile)</t>
  </si>
  <si>
    <t xml:space="preserve">Site C columns</t>
  </si>
  <si>
    <t xml:space="preserve">PO-2024-068</t>
  </si>
  <si>
    <t xml:space="preserve">Lafarge Aircem Masonry Cement 40kg</t>
  </si>
  <si>
    <t xml:space="preserve">Site C - Block walls</t>
  </si>
  <si>
    <t xml:space="preserve">PO-2024-069</t>
  </si>
  <si>
    <t xml:space="preserve">ABB ACS580 VFD 55kW Drive</t>
  </si>
  <si>
    <t xml:space="preserve">HVAC drives Site B</t>
  </si>
  <si>
    <t xml:space="preserve">PO-2024-070</t>
  </si>
  <si>
    <t xml:space="preserve">Hollow Blocks 4-inch (pieces)</t>
  </si>
  <si>
    <t xml:space="preserve">Site C - Block works</t>
  </si>
  <si>
    <t xml:space="preserve">PO-2024-071</t>
  </si>
  <si>
    <t xml:space="preserve">Hollow Blocks 6-inch (pieces)</t>
  </si>
  <si>
    <t xml:space="preserve">PO-2024-072</t>
  </si>
  <si>
    <t xml:space="preserve">Epson EcoTank L15150 A3 Printer</t>
  </si>
  <si>
    <t xml:space="preserve">Engineering dept printers</t>
  </si>
  <si>
    <t xml:space="preserve">PO-2024-073</t>
  </si>
  <si>
    <t xml:space="preserve">Diesel Fuel (liters)</t>
  </si>
  <si>
    <t xml:space="preserve">Equipment fuel Oct</t>
  </si>
  <si>
    <t xml:space="preserve">PO-2024-074</t>
  </si>
  <si>
    <t xml:space="preserve">3M Safety Boot Steel Toe Size 7-11</t>
  </si>
  <si>
    <t xml:space="preserve">Annual PPE replacement</t>
  </si>
  <si>
    <t xml:space="preserve">PO-2024-075</t>
  </si>
  <si>
    <t xml:space="preserve">Schneider Acti9 iC60H 40A MCB</t>
  </si>
  <si>
    <t xml:space="preserve">Sub-distribution boards</t>
  </si>
  <si>
    <t xml:space="preserve">PO-2024-076</t>
  </si>
  <si>
    <t xml:space="preserve">Boysen Acrytex Primer 4L</t>
  </si>
  <si>
    <t xml:space="preserve">Site C - Interior prep</t>
  </si>
  <si>
    <t xml:space="preserve">PO-2024-077</t>
  </si>
  <si>
    <t xml:space="preserve">uPVC Pipe 3 inch x 6m (S-1000)</t>
  </si>
  <si>
    <t xml:space="preserve">Drainage works Site C</t>
  </si>
  <si>
    <t xml:space="preserve">PO-2024-078</t>
  </si>
  <si>
    <t xml:space="preserve">Sta. Clara MEP Installation - Site B</t>
  </si>
  <si>
    <t xml:space="preserve">Subcontract MEP works</t>
  </si>
  <si>
    <t xml:space="preserve">PO-2024-079</t>
  </si>
  <si>
    <t xml:space="preserve">Equipment fuel Nov</t>
  </si>
  <si>
    <t xml:space="preserve">PO-2024-080</t>
  </si>
  <si>
    <t xml:space="preserve">Office Furniture Ergonomic Chair (set)</t>
  </si>
  <si>
    <t xml:space="preserve">New office fit-out</t>
  </si>
  <si>
    <t xml:space="preserve">PO-2024-081</t>
  </si>
  <si>
    <t xml:space="preserve">Site C - Year-end push</t>
  </si>
  <si>
    <t xml:space="preserve">PO-2024-082</t>
  </si>
  <si>
    <t xml:space="preserve">HP EliteBook 840 G11 Laptop</t>
  </si>
  <si>
    <t xml:space="preserve">Management laptops</t>
  </si>
  <si>
    <t xml:space="preserve">PO-2024-083</t>
  </si>
  <si>
    <t xml:space="preserve">Year-end stockpile</t>
  </si>
  <si>
    <t xml:space="preserve">PO-2024-084</t>
  </si>
  <si>
    <t xml:space="preserve">Globe One Business Postpaid 50 lines</t>
  </si>
  <si>
    <t xml:space="preserve">Employee mobile plans</t>
  </si>
  <si>
    <t xml:space="preserve">PO-2024-085</t>
  </si>
  <si>
    <t xml:space="preserve">Equipment fuel Dec</t>
  </si>
  <si>
    <t xml:space="preserve">PO-2025-001</t>
  </si>
  <si>
    <t xml:space="preserve">Holcim Solido OPC 40kg</t>
  </si>
  <si>
    <t xml:space="preserve">Site C - 3F column</t>
  </si>
  <si>
    <t xml:space="preserve">PO-2025-002</t>
  </si>
  <si>
    <t xml:space="preserve">Deformed Steel Bar 32mm x 6m</t>
  </si>
  <si>
    <t xml:space="preserve">Site C - Transfer beam</t>
  </si>
  <si>
    <t xml:space="preserve">PO-2025-003</t>
  </si>
  <si>
    <t xml:space="preserve">3M 8210 N95 Respirator (box of 20)</t>
  </si>
  <si>
    <t xml:space="preserve">Annual PPE restocking</t>
  </si>
  <si>
    <t xml:space="preserve">PO-2025-004</t>
  </si>
  <si>
    <t xml:space="preserve">Schneider Prisma Plus G Panel 1600A</t>
  </si>
  <si>
    <t xml:space="preserve">Main LV panel Site C</t>
  </si>
  <si>
    <t xml:space="preserve">PO-2025-005</t>
  </si>
  <si>
    <t xml:space="preserve">Jan 2025 equipment fuel</t>
  </si>
  <si>
    <t xml:space="preserve">PO-2025-006</t>
  </si>
  <si>
    <t xml:space="preserve">Q1 2025 office supply</t>
  </si>
  <si>
    <t xml:space="preserve">PO-2025-007</t>
  </si>
  <si>
    <t xml:space="preserve">CEMEX OPC Premium Blend 40kg</t>
  </si>
  <si>
    <t xml:space="preserve">Site C - 3F slab</t>
  </si>
  <si>
    <t xml:space="preserve">PO-2025-008</t>
  </si>
  <si>
    <t xml:space="preserve">Backfill works Site C</t>
  </si>
  <si>
    <t xml:space="preserve">PO-2025-009</t>
  </si>
  <si>
    <t xml:space="preserve">ABB ACS880 Drive 110kW Industrial</t>
  </si>
  <si>
    <t xml:space="preserve">Pump stations</t>
  </si>
  <si>
    <t xml:space="preserve">PO-2025-010</t>
  </si>
  <si>
    <t xml:space="preserve">Komatsu WA380-8 Wheel Loader</t>
  </si>
  <si>
    <t xml:space="preserve">Site D capital equipment</t>
  </si>
  <si>
    <t xml:space="preserve">PO-2025-011</t>
  </si>
  <si>
    <t xml:space="preserve">Steel Wide Flange W250x89 (12m)</t>
  </si>
  <si>
    <t xml:space="preserve">Site C - Steel frame</t>
  </si>
  <si>
    <t xml:space="preserve">PO-2025-012</t>
  </si>
  <si>
    <t xml:space="preserve">Feb 2025 fuel</t>
  </si>
  <si>
    <t xml:space="preserve">PO-2025-013</t>
  </si>
  <si>
    <t xml:space="preserve">Dell Latitude 5550 Laptop</t>
  </si>
  <si>
    <t xml:space="preserve">Site engineer laptops</t>
  </si>
  <si>
    <t xml:space="preserve">PO-2025-014</t>
  </si>
  <si>
    <t xml:space="preserve">Neltex uPVC Pipe 2 inch x 6m</t>
  </si>
  <si>
    <t xml:space="preserve">Water supply roughing</t>
  </si>
  <si>
    <t xml:space="preserve">PO-2025-015</t>
  </si>
  <si>
    <t xml:space="preserve">Schneider Easergy T200P Protection Relay</t>
  </si>
  <si>
    <t xml:space="preserve">Substation relays</t>
  </si>
  <si>
    <t xml:space="preserve">PO-2025-016</t>
  </si>
  <si>
    <t xml:space="preserve">EEI Structural Works - Site D</t>
  </si>
  <si>
    <t xml:space="preserve">🔄 Ongoing</t>
  </si>
  <si>
    <t xml:space="preserve">Major subcontract Site D</t>
  </si>
  <si>
    <t xml:space="preserve">PO-2025-017</t>
  </si>
  <si>
    <t xml:space="preserve">3M DBI-SALA Roofing Anchor</t>
  </si>
  <si>
    <t xml:space="preserve">Roofing PPE Site C</t>
  </si>
  <si>
    <t xml:space="preserve">PO-2025-018</t>
  </si>
  <si>
    <t xml:space="preserve">Mar 2025 fuel</t>
  </si>
  <si>
    <t xml:space="preserve">PO-2025-019</t>
  </si>
  <si>
    <t xml:space="preserve">Holcim HiEarly Cement 40kg</t>
  </si>
  <si>
    <t xml:space="preserve">Site D - Foundation pour</t>
  </si>
  <si>
    <t xml:space="preserve">PO-2025-020</t>
  </si>
  <si>
    <t xml:space="preserve">Deformed Steel Bar 12mm x 6m (Seismic)</t>
  </si>
  <si>
    <t xml:space="preserve">Site D - Seismic zone</t>
  </si>
  <si>
    <t xml:space="preserve">PO-2025-021</t>
  </si>
  <si>
    <t xml:space="preserve">Lafarge Wallmax Masonry Cement 40kg</t>
  </si>
  <si>
    <t xml:space="preserve">Site D - CHB laying</t>
  </si>
  <si>
    <t xml:space="preserve">PO-2025-022</t>
  </si>
  <si>
    <t xml:space="preserve">Site D - Block works</t>
  </si>
  <si>
    <t xml:space="preserve">PO-2025-023</t>
  </si>
  <si>
    <t xml:space="preserve">Sika 212 Crystalline Waterproofing 25kg</t>
  </si>
  <si>
    <t xml:space="preserve">Site D basement</t>
  </si>
  <si>
    <t xml:space="preserve">PO-2025-024</t>
  </si>
  <si>
    <t xml:space="preserve">Apr 2025 fuel</t>
  </si>
  <si>
    <t xml:space="preserve">PO-2025-025</t>
  </si>
  <si>
    <t xml:space="preserve">Siemens HV/LV Transformer 1000kVA</t>
  </si>
  <si>
    <t xml:space="preserve">Site D main transformer</t>
  </si>
  <si>
    <t xml:space="preserve">PO-2025-026</t>
  </si>
  <si>
    <t xml:space="preserve">Site D mortar works</t>
  </si>
  <si>
    <t xml:space="preserve">PO-2025-027</t>
  </si>
  <si>
    <t xml:space="preserve">Corrugated GI Roof Sheet G24 (5m)</t>
  </si>
  <si>
    <t xml:space="preserve">Site C - Roof completion</t>
  </si>
  <si>
    <t xml:space="preserve">PO-2025-028</t>
  </si>
  <si>
    <t xml:space="preserve">Epson 003 Ink Bottle Set (4-color)</t>
  </si>
  <si>
    <t xml:space="preserve">Printer consumables</t>
  </si>
  <si>
    <t xml:space="preserve">PO-2025-029</t>
  </si>
  <si>
    <t xml:space="preserve">3M WorkTunes Wireless Hearing Protector</t>
  </si>
  <si>
    <t xml:space="preserve">Noise area works Site D</t>
  </si>
  <si>
    <t xml:space="preserve">PO-2025-030</t>
  </si>
  <si>
    <t xml:space="preserve">May 2025 fuel</t>
  </si>
  <si>
    <t xml:space="preserve">PO-2025-031</t>
  </si>
  <si>
    <t xml:space="preserve">Legrand Trunking 100x50mm (2m)</t>
  </si>
  <si>
    <t xml:space="preserve">Cable management Site D</t>
  </si>
  <si>
    <t xml:space="preserve">PO-2025-032</t>
  </si>
  <si>
    <t xml:space="preserve">ABB SACE E2.2 2000A ACB 3P</t>
  </si>
  <si>
    <t xml:space="preserve">HV room Site D</t>
  </si>
  <si>
    <t xml:space="preserve">PO-2025-033</t>
  </si>
  <si>
    <t xml:space="preserve">HP ProOne 440 G9 AIO PC</t>
  </si>
  <si>
    <t xml:space="preserve">Project management office</t>
  </si>
  <si>
    <t xml:space="preserve">PO-2025-034</t>
  </si>
  <si>
    <t xml:space="preserve">Volvo EC380E Crawler Excavator</t>
  </si>
  <si>
    <t xml:space="preserve">Site D - major earthworks</t>
  </si>
  <si>
    <t xml:space="preserve">PO-2025-035</t>
  </si>
  <si>
    <t xml:space="preserve">Jun 2025 fuel</t>
  </si>
  <si>
    <t xml:space="preserve">PO-2025-036</t>
  </si>
  <si>
    <t xml:space="preserve">Site D - 2F concrete</t>
  </si>
  <si>
    <t xml:space="preserve">PO-2025-037</t>
  </si>
  <si>
    <t xml:space="preserve">Deformed Steel Bar 16mm x 6m (BIS)</t>
  </si>
  <si>
    <t xml:space="preserve">Site D - Beams</t>
  </si>
  <si>
    <t xml:space="preserve">PO-2025-038</t>
  </si>
  <si>
    <t xml:space="preserve">Sta. Clara HVAC Installation - Site D</t>
  </si>
  <si>
    <t xml:space="preserve">HVAC full package</t>
  </si>
  <si>
    <t xml:space="preserve">PO-2025-039</t>
  </si>
  <si>
    <t xml:space="preserve">3M Safety Boot Steel Toe (pairs)</t>
  </si>
  <si>
    <t xml:space="preserve">Mid-year PPE replacement</t>
  </si>
  <si>
    <t xml:space="preserve">PO-2025-040</t>
  </si>
  <si>
    <t xml:space="preserve">Jul 2025 fuel</t>
  </si>
  <si>
    <t xml:space="preserve">PO-2025-041</t>
  </si>
  <si>
    <t xml:space="preserve">Schneider Altivar 630 VFD 185kW</t>
  </si>
  <si>
    <t xml:space="preserve">Chiller drives Site D</t>
  </si>
  <si>
    <t xml:space="preserve">PO-2025-042</t>
  </si>
  <si>
    <t xml:space="preserve">CEMEX Ready Mix 4000 PSI (m3)</t>
  </si>
  <si>
    <t xml:space="preserve">Site D - High-strength slab</t>
  </si>
  <si>
    <t xml:space="preserve">PO-2025-043</t>
  </si>
  <si>
    <t xml:space="preserve">Site D sub-base</t>
  </si>
  <si>
    <t xml:space="preserve">PO-2025-044</t>
  </si>
  <si>
    <t xml:space="preserve">Dell UltraSharp U2724D Monitor 27in</t>
  </si>
  <si>
    <t xml:space="preserve">Engineer workstations</t>
  </si>
  <si>
    <t xml:space="preserve">PO-2025-045</t>
  </si>
  <si>
    <t xml:space="preserve">Boysen Permacoat Latex White 4L</t>
  </si>
  <si>
    <t xml:space="preserve">Site D - Interior painting</t>
  </si>
  <si>
    <t xml:space="preserve">PO-2025-046</t>
  </si>
  <si>
    <t xml:space="preserve">Aug 2025 fuel</t>
  </si>
  <si>
    <t xml:space="preserve">PO-2025-047</t>
  </si>
  <si>
    <t xml:space="preserve">Lafarge HiStrength Cement 40kg</t>
  </si>
  <si>
    <t xml:space="preserve">Site D - Special concrete</t>
  </si>
  <si>
    <t xml:space="preserve">PO-2025-048</t>
  </si>
  <si>
    <t xml:space="preserve">Steel C-Channel 150x65mm (6m)</t>
  </si>
  <si>
    <t xml:space="preserve">Site D - Secondary framing</t>
  </si>
  <si>
    <t xml:space="preserve">PO-2025-049</t>
  </si>
  <si>
    <t xml:space="preserve">Sika 101A Waterproofing Mortar 25kg</t>
  </si>
  <si>
    <t xml:space="preserve">Site D - Roof deck</t>
  </si>
  <si>
    <t xml:space="preserve">PO-2025-050</t>
  </si>
  <si>
    <t xml:space="preserve">Stapler Heavy Duty &amp; Staples Set</t>
  </si>
  <si>
    <t xml:space="preserve">Q3 2025 office supply</t>
  </si>
  <si>
    <t xml:space="preserve">PO-2025-051</t>
  </si>
  <si>
    <t xml:space="preserve">Sep 2025 fuel</t>
  </si>
  <si>
    <t xml:space="preserve">PO-2025-052</t>
  </si>
  <si>
    <t xml:space="preserve">ABB Relion 670 Series Protection IED</t>
  </si>
  <si>
    <t xml:space="preserve">Substation protection</t>
  </si>
  <si>
    <t xml:space="preserve">PO-2025-053</t>
  </si>
  <si>
    <t xml:space="preserve">Site D - 4F &amp; 5F</t>
  </si>
  <si>
    <t xml:space="preserve">PO-2025-054</t>
  </si>
  <si>
    <t xml:space="preserve">Deformed Steel Bar 20mm x 6m</t>
  </si>
  <si>
    <t xml:space="preserve">Site D - Girder system</t>
  </si>
  <si>
    <t xml:space="preserve">PO-2025-055</t>
  </si>
  <si>
    <t xml:space="preserve">Ceramic Floor Tile 60x60cm (box)</t>
  </si>
  <si>
    <t xml:space="preserve">Site D - Finishing works</t>
  </si>
  <si>
    <t xml:space="preserve">PO-2025-056</t>
  </si>
  <si>
    <t xml:space="preserve">Wall Tile 30x60cm Matte (box)</t>
  </si>
  <si>
    <t xml:space="preserve">PO-2025-057</t>
  </si>
  <si>
    <t xml:space="preserve">Oct 2025 fuel</t>
  </si>
  <si>
    <t xml:space="preserve">PO-2025-058</t>
  </si>
  <si>
    <t xml:space="preserve">Lenovo ThinkCentre M70q Gen5 Mini PC</t>
  </si>
  <si>
    <t xml:space="preserve">Admin department upgrade</t>
  </si>
  <si>
    <t xml:space="preserve">PO-2025-059</t>
  </si>
  <si>
    <t xml:space="preserve">Honeywell BW Ultra Portable Gas Detector</t>
  </si>
  <si>
    <t xml:space="preserve">Gas detection upgrade</t>
  </si>
  <si>
    <t xml:space="preserve">PO-2025-060</t>
  </si>
  <si>
    <t xml:space="preserve">EEI Structural Steel Erection - Site D</t>
  </si>
  <si>
    <t xml:space="preserve">Steel erection contract</t>
  </si>
  <si>
    <t xml:space="preserve">PO-2025-061</t>
  </si>
  <si>
    <t xml:space="preserve">Davies Firecheck Intumescent Paint 4L</t>
  </si>
  <si>
    <t xml:space="preserve">Fire protection coating</t>
  </si>
  <si>
    <t xml:space="preserve">PO-2025-062</t>
  </si>
  <si>
    <t xml:space="preserve">Neltex uPVC Fittings Assorted Set</t>
  </si>
  <si>
    <t xml:space="preserve">Plumbing Site D</t>
  </si>
  <si>
    <t xml:space="preserve">PO-2025-063</t>
  </si>
  <si>
    <t xml:space="preserve">Nov 2025 fuel</t>
  </si>
  <si>
    <t xml:space="preserve">PO-2025-064</t>
  </si>
  <si>
    <t xml:space="preserve">3M Virtua CCS Safety Glasses (box of 20)</t>
  </si>
  <si>
    <t xml:space="preserve">Year-end PPE</t>
  </si>
  <si>
    <t xml:space="preserve">PO-2025-065</t>
  </si>
  <si>
    <t xml:space="preserve">Schneider Galaxy VS UPS 80kVA</t>
  </si>
  <si>
    <t xml:space="preserve">Data center UPS Site D</t>
  </si>
  <si>
    <t xml:space="preserve">PO-2025-066</t>
  </si>
  <si>
    <t xml:space="preserve">Site D - 6F push</t>
  </si>
  <si>
    <t xml:space="preserve">PO-2025-067</t>
  </si>
  <si>
    <t xml:space="preserve">PO-2025-068</t>
  </si>
  <si>
    <t xml:space="preserve">Dec 2025 fuel</t>
  </si>
  <si>
    <t xml:space="preserve">PO-2026-001</t>
  </si>
  <si>
    <t xml:space="preserve">📋 Received</t>
  </si>
  <si>
    <t xml:space="preserve">Site D - 7F works</t>
  </si>
  <si>
    <t xml:space="preserve">PO-2026-002</t>
  </si>
  <si>
    <t xml:space="preserve">Deformed Steel Bar 25mm x 6m</t>
  </si>
  <si>
    <t xml:space="preserve">Site D - Roof level</t>
  </si>
  <si>
    <t xml:space="preserve">PO-2026-003</t>
  </si>
  <si>
    <t xml:space="preserve">Schneider PM8000 Power Quality Meter</t>
  </si>
  <si>
    <t xml:space="preserve">Energy mgmt system</t>
  </si>
  <si>
    <t xml:space="preserve">PO-2026-004</t>
  </si>
  <si>
    <t xml:space="preserve">Dell Vostro 3530 Business Laptop</t>
  </si>
  <si>
    <t xml:space="preserve">Site D project office</t>
  </si>
  <si>
    <t xml:space="preserve">PO-2026-005</t>
  </si>
  <si>
    <t xml:space="preserve">3M PPE Kit (Full Set per person)</t>
  </si>
  <si>
    <t xml:space="preserve">Site D full crew PPE</t>
  </si>
  <si>
    <t xml:space="preserve">PO-2026-006</t>
  </si>
  <si>
    <t xml:space="preserve">Jan 2026 fuel</t>
  </si>
  <si>
    <t xml:space="preserve">PO-2026-007</t>
  </si>
  <si>
    <t xml:space="preserve">Sika Monotop 612 Repair Mortar 25kg</t>
  </si>
  <si>
    <t xml:space="preserve">📝 Ordered</t>
  </si>
  <si>
    <t xml:space="preserve">Concrete repair works</t>
  </si>
  <si>
    <t xml:space="preserve">PO-2026-008</t>
  </si>
  <si>
    <t xml:space="preserve">Site E - Pre-earthworks</t>
  </si>
  <si>
    <t xml:space="preserve">PO-2026-009</t>
  </si>
  <si>
    <t xml:space="preserve">EEI Piling Works - Site E</t>
  </si>
  <si>
    <t xml:space="preserve">New project Site E</t>
  </si>
  <si>
    <t xml:space="preserve">PO-2026-010</t>
  </si>
  <si>
    <t xml:space="preserve">CEMEX OPC Bulk Cement (metric ton)</t>
  </si>
  <si>
    <t xml:space="preserve">Site E - Piling concrete</t>
  </si>
  <si>
    <t xml:space="preserve">PO-2026-011</t>
  </si>
  <si>
    <t xml:space="preserve">Feb 2026 fuel</t>
  </si>
  <si>
    <t xml:space="preserve">PO-2026-012</t>
  </si>
  <si>
    <t xml:space="preserve">Volvo A45G Articulated Hauler</t>
  </si>
  <si>
    <t xml:space="preserve">Site E - Earthworks fleet</t>
  </si>
  <si>
    <t xml:space="preserve">PO-2026-013</t>
  </si>
  <si>
    <t xml:space="preserve">Siemens SIMATIC S7-1500 PLC System</t>
  </si>
  <si>
    <t xml:space="preserve">Site D automation</t>
  </si>
  <si>
    <t xml:space="preserve">PO-2026-014</t>
  </si>
  <si>
    <t xml:space="preserve">Sta. Clara Plumbing Works - Site D</t>
  </si>
  <si>
    <t xml:space="preserve">Plumbing completion</t>
  </si>
  <si>
    <t xml:space="preserve">PO-2026-015</t>
  </si>
  <si>
    <t xml:space="preserve">3M Versaflo TR-300 PAPR</t>
  </si>
  <si>
    <t xml:space="preserve">High-dust works Site E</t>
  </si>
  <si>
    <t xml:space="preserve">PO-2026-016</t>
  </si>
  <si>
    <t xml:space="preserve">Office Supplies Quarterly Bundle</t>
  </si>
  <si>
    <t xml:space="preserve">Q1 2026 bulk order</t>
  </si>
  <si>
    <t xml:space="preserve">PO-2026-017</t>
  </si>
  <si>
    <t xml:space="preserve">Mar 2026 fuel</t>
  </si>
  <si>
    <t xml:space="preserve">PO-2026-018</t>
  </si>
  <si>
    <t xml:space="preserve">Site E - Foundation rebar</t>
  </si>
  <si>
    <t xml:space="preserve">PO-2026-019</t>
  </si>
  <si>
    <t xml:space="preserve">Site E - Foundation</t>
  </si>
  <si>
    <t xml:space="preserve">PO-2026-020</t>
  </si>
  <si>
    <t xml:space="preserve">ABB SafeRing 24kV RMU</t>
  </si>
  <si>
    <t xml:space="preserve">Site E MV switchgear</t>
  </si>
  <si>
    <t xml:space="preserve">TOTAL PURCHASE ORDERS VALUE</t>
  </si>
  <si>
    <t xml:space="preserve">📦  Pinnacle Construction &amp; Development Corporation — GOODS RECEIPT &amp; INSPECTION LOG</t>
  </si>
  <si>
    <t xml:space="preserve">Receiving &amp; Quality Inspection Records  ·  Warehouse Division  ·  2024–2026</t>
  </si>
  <si>
    <t xml:space="preserve">GR Number</t>
  </si>
  <si>
    <t xml:space="preserve">PO Reference</t>
  </si>
  <si>
    <t xml:space="preserve">Supplier</t>
  </si>
  <si>
    <t xml:space="preserve">Item Description</t>
  </si>
  <si>
    <t xml:space="preserve">PO Qty</t>
  </si>
  <si>
    <t xml:space="preserve">Received Qty</t>
  </si>
  <si>
    <t xml:space="preserve">Variance</t>
  </si>
  <si>
    <t xml:space="preserve">Receive Date</t>
  </si>
  <si>
    <t xml:space="preserve">Received By</t>
  </si>
  <si>
    <t xml:space="preserve">Inspection Result</t>
  </si>
  <si>
    <t xml:space="preserve">Inspected By</t>
  </si>
  <si>
    <t xml:space="preserve">Condition</t>
  </si>
  <si>
    <t xml:space="preserve">Location</t>
  </si>
  <si>
    <t xml:space="preserve">GR-2024-001</t>
  </si>
  <si>
    <t xml:space="preserve">Warehouse Keeper R. Dela Cruz</t>
  </si>
  <si>
    <t xml:space="preserve">✅ Passed</t>
  </si>
  <si>
    <t xml:space="preserve">QC Inspector A. Reyes</t>
  </si>
  <si>
    <t xml:space="preserve">Good Condition</t>
  </si>
  <si>
    <t xml:space="preserve">Site A - Bodega 1</t>
  </si>
  <si>
    <t xml:space="preserve">Full delivery</t>
  </si>
  <si>
    <t xml:space="preserve">GR-2024-002</t>
  </si>
  <si>
    <t xml:space="preserve">SteelAsia Manufacturing</t>
  </si>
  <si>
    <t xml:space="preserve">Warehse Keeper R. Dela Cruz</t>
  </si>
  <si>
    <t xml:space="preserve">Site A - Steel Yard</t>
  </si>
  <si>
    <t xml:space="preserve">MTR received</t>
  </si>
  <si>
    <t xml:space="preserve">GR-2024-003</t>
  </si>
  <si>
    <t xml:space="preserve">⚠ Partial</t>
  </si>
  <si>
    <t xml:space="preserve">Shortage 200pcs — backorder issued</t>
  </si>
  <si>
    <t xml:space="preserve">GR-2024-004</t>
  </si>
  <si>
    <t xml:space="preserve">Warehse Keeper M. Santos</t>
  </si>
  <si>
    <t xml:space="preserve">QC Inspector B. Tan</t>
  </si>
  <si>
    <t xml:space="preserve">Site A - Bodega 2</t>
  </si>
  <si>
    <t xml:space="preserve">Complete delivery</t>
  </si>
  <si>
    <t xml:space="preserve">GR-2024-005</t>
  </si>
  <si>
    <t xml:space="preserve">Schneider Electric PH</t>
  </si>
  <si>
    <t xml:space="preserve">Electrical Room Store</t>
  </si>
  <si>
    <t xml:space="preserve">With test certs</t>
  </si>
  <si>
    <t xml:space="preserve">GR-2024-006</t>
  </si>
  <si>
    <t xml:space="preserve">Safety Officer J. Cruz</t>
  </si>
  <si>
    <t xml:space="preserve">PPE Storage Room</t>
  </si>
  <si>
    <t xml:space="preserve">Batch number recorded</t>
  </si>
  <si>
    <t xml:space="preserve">GR-2024-007</t>
  </si>
  <si>
    <t xml:space="preserve">GR-2024-008</t>
  </si>
  <si>
    <t xml:space="preserve">Fuel In-charge R. Santos</t>
  </si>
  <si>
    <t xml:space="preserve">Admin Manager P. Lim</t>
  </si>
  <si>
    <t xml:space="preserve">Delivered to Tank</t>
  </si>
  <si>
    <t xml:space="preserve">Fuel Depot Site A</t>
  </si>
  <si>
    <t xml:space="preserve">Delivery receipt on file</t>
  </si>
  <si>
    <t xml:space="preserve">GR-2024-009</t>
  </si>
  <si>
    <t xml:space="preserve">Complete</t>
  </si>
  <si>
    <t xml:space="preserve">GR-2024-010</t>
  </si>
  <si>
    <t xml:space="preserve">Lafarge Holcim Trading</t>
  </si>
  <si>
    <t xml:space="preserve">Site A - Aggregate Yard</t>
  </si>
  <si>
    <t xml:space="preserve">Slight shortage noted</t>
  </si>
  <si>
    <t xml:space="preserve">GR-2024-011</t>
  </si>
  <si>
    <t xml:space="preserve">GR-2024-012</t>
  </si>
  <si>
    <t xml:space="preserve">GR-2024-013</t>
  </si>
  <si>
    <t xml:space="preserve">IT Staff K. Navarro</t>
  </si>
  <si>
    <t xml:space="preserve">IT Manager F. Ocampo</t>
  </si>
  <si>
    <t xml:space="preserve">IT Storage Room</t>
  </si>
  <si>
    <t xml:space="preserve">Serial nos. registered</t>
  </si>
  <si>
    <t xml:space="preserve">GR-2024-014</t>
  </si>
  <si>
    <t xml:space="preserve">Admin Staff L. Bautista</t>
  </si>
  <si>
    <t xml:space="preserve">Admin Officer S. Mendoza</t>
  </si>
  <si>
    <t xml:space="preserve">Office Supply Room</t>
  </si>
  <si>
    <t xml:space="preserve">GR-2024-015</t>
  </si>
  <si>
    <t xml:space="preserve">Equipment Mgr D. Ramos</t>
  </si>
  <si>
    <t xml:space="preserve">VP-Operations E. Villanueva</t>
  </si>
  <si>
    <t xml:space="preserve">Excellent</t>
  </si>
  <si>
    <t xml:space="preserve">Site B Equipment Yard</t>
  </si>
  <si>
    <t xml:space="preserve">PDI completed, COC received</t>
  </si>
  <si>
    <t xml:space="preserve">GR-2024-016</t>
  </si>
  <si>
    <t xml:space="preserve">CEMEX Holdings PH</t>
  </si>
  <si>
    <t xml:space="preserve">Site B - Bodega 1</t>
  </si>
  <si>
    <t xml:space="preserve">GR-2024-017</t>
  </si>
  <si>
    <t xml:space="preserve">Dell Technologies PH</t>
  </si>
  <si>
    <t xml:space="preserve">DOA check done</t>
  </si>
  <si>
    <t xml:space="preserve">GR-2024-018</t>
  </si>
  <si>
    <t xml:space="preserve">Registered with Lenovo</t>
  </si>
  <si>
    <t xml:space="preserve">GR-2024-019</t>
  </si>
  <si>
    <t xml:space="preserve">Engr. M. Dela Cruz</t>
  </si>
  <si>
    <t xml:space="preserve">Site B Substation</t>
  </si>
  <si>
    <t xml:space="preserve">Factory test cert received</t>
  </si>
  <si>
    <t xml:space="preserve">GR-2024-020</t>
  </si>
  <si>
    <t xml:space="preserve">Electrical Store B</t>
  </si>
  <si>
    <t xml:space="preserve">Complete w/ FAT docs</t>
  </si>
  <si>
    <t xml:space="preserve">GR-2024-021</t>
  </si>
  <si>
    <t xml:space="preserve">QC Engr. P. Santos</t>
  </si>
  <si>
    <t xml:space="preserve">Site C - Pour Area</t>
  </si>
  <si>
    <t xml:space="preserve">20m3 short pour, rescheduled</t>
  </si>
  <si>
    <t xml:space="preserve">GR-2024-022</t>
  </si>
  <si>
    <t xml:space="preserve">Data Center Room</t>
  </si>
  <si>
    <t xml:space="preserve">Rack-mounted &amp; tested</t>
  </si>
  <si>
    <t xml:space="preserve">GR-2024-023</t>
  </si>
  <si>
    <t xml:space="preserve">Project Engr. R. Torres</t>
  </si>
  <si>
    <t xml:space="preserve">Site C</t>
  </si>
  <si>
    <t xml:space="preserve">Progress cert no. 1 of 3</t>
  </si>
  <si>
    <t xml:space="preserve">GR-2024-024</t>
  </si>
  <si>
    <t xml:space="preserve">Site C - Bodega 1</t>
  </si>
  <si>
    <t xml:space="preserve">GR-2024-025</t>
  </si>
  <si>
    <t xml:space="preserve">Site C - Steel Yard</t>
  </si>
  <si>
    <t xml:space="preserve">MTR &amp; MTC received</t>
  </si>
  <si>
    <t xml:space="preserve">GR-2024-026</t>
  </si>
  <si>
    <t xml:space="preserve">Sta. Clara International</t>
  </si>
  <si>
    <t xml:space="preserve">Project Engr. A. Mendoza</t>
  </si>
  <si>
    <t xml:space="preserve">Site B MEP</t>
  </si>
  <si>
    <t xml:space="preserve">Progress cert no. 1</t>
  </si>
  <si>
    <t xml:space="preserve">GR-2024-027</t>
  </si>
  <si>
    <t xml:space="preserve">Year-end bulk delivery</t>
  </si>
  <si>
    <t xml:space="preserve">GR-2024-028</t>
  </si>
  <si>
    <t xml:space="preserve">Registered with HP</t>
  </si>
  <si>
    <t xml:space="preserve">GR-2025-001</t>
  </si>
  <si>
    <t xml:space="preserve">GR-2025-002</t>
  </si>
  <si>
    <t xml:space="preserve">MTR on file</t>
  </si>
  <si>
    <t xml:space="preserve">GR-2025-003</t>
  </si>
  <si>
    <t xml:space="preserve">Elec Store C</t>
  </si>
  <si>
    <t xml:space="preserve">FAT cert received</t>
  </si>
  <si>
    <t xml:space="preserve">GR-2025-004</t>
  </si>
  <si>
    <t xml:space="preserve">Site C - Bodega 2</t>
  </si>
  <si>
    <t xml:space="preserve">GR-2025-005</t>
  </si>
  <si>
    <t xml:space="preserve">All drives tested</t>
  </si>
  <si>
    <t xml:space="preserve">GR-2025-006</t>
  </si>
  <si>
    <t xml:space="preserve">CEO R. Navarro</t>
  </si>
  <si>
    <t xml:space="preserve">Site D Equipment Yard</t>
  </si>
  <si>
    <t xml:space="preserve">PDI &amp; commissioning done</t>
  </si>
  <si>
    <t xml:space="preserve">GR-2025-007</t>
  </si>
  <si>
    <t xml:space="preserve">All tagged &amp; enrolled</t>
  </si>
  <si>
    <t xml:space="preserve">GR-2025-008</t>
  </si>
  <si>
    <t xml:space="preserve">EEI Structural Works - Site D (Progress 1)</t>
  </si>
  <si>
    <t xml:space="preserve">Site D</t>
  </si>
  <si>
    <t xml:space="preserve">Progress cert no. 1 — 35%</t>
  </si>
  <si>
    <t xml:space="preserve">GR-2025-009</t>
  </si>
  <si>
    <t xml:space="preserve">Site D - Bodega 1</t>
  </si>
  <si>
    <t xml:space="preserve">GR-2025-010</t>
  </si>
  <si>
    <t xml:space="preserve">Site D - Steel Yard</t>
  </si>
  <si>
    <t xml:space="preserve">200pcs on backorder</t>
  </si>
  <si>
    <t xml:space="preserve">GR-2025-011</t>
  </si>
  <si>
    <t xml:space="preserve">Siemens Philippines</t>
  </si>
  <si>
    <t xml:space="preserve">Site D Substation</t>
  </si>
  <si>
    <t xml:space="preserve">FAT &amp; SAT completed</t>
  </si>
  <si>
    <t xml:space="preserve">GR-2025-012</t>
  </si>
  <si>
    <t xml:space="preserve">GR-2025-013</t>
  </si>
  <si>
    <t xml:space="preserve">Volvo Financial Services</t>
  </si>
  <si>
    <t xml:space="preserve">Commissioning &amp; training done</t>
  </si>
  <si>
    <t xml:space="preserve">GR-2025-014</t>
  </si>
  <si>
    <t xml:space="preserve">Bulk delivery, on schedule</t>
  </si>
  <si>
    <t xml:space="preserve">GR-2025-015</t>
  </si>
  <si>
    <t xml:space="preserve">Complete w/ MTR</t>
  </si>
  <si>
    <t xml:space="preserve">GR-2025-016</t>
  </si>
  <si>
    <t xml:space="preserve">Sta. Clara HVAC Installation - Site D (P1)</t>
  </si>
  <si>
    <t xml:space="preserve">Progress cert no. 1 — 40%</t>
  </si>
  <si>
    <t xml:space="preserve">GR-2025-017</t>
  </si>
  <si>
    <t xml:space="preserve">Elec Store D</t>
  </si>
  <si>
    <t xml:space="preserve">Factory tested units</t>
  </si>
  <si>
    <t xml:space="preserve">GR-2025-018</t>
  </si>
  <si>
    <t xml:space="preserve">Site D - Pour Area</t>
  </si>
  <si>
    <t xml:space="preserve">Cylinder tests scheduled</t>
  </si>
  <si>
    <t xml:space="preserve">GR-2025-019</t>
  </si>
  <si>
    <t xml:space="preserve">Pixel-perfect check done</t>
  </si>
  <si>
    <t xml:space="preserve">GR-2025-020</t>
  </si>
  <si>
    <t xml:space="preserve">Site D - Bodega 2</t>
  </si>
  <si>
    <t xml:space="preserve">On time delivery</t>
  </si>
  <si>
    <t xml:space="preserve">GR-2025-021</t>
  </si>
  <si>
    <t xml:space="preserve">MTR batch 25-10 received</t>
  </si>
  <si>
    <t xml:space="preserve">GR-2025-022</t>
  </si>
  <si>
    <t xml:space="preserve">EEI Structural Steel Erection - Site D (P1)</t>
  </si>
  <si>
    <t xml:space="preserve">Progress cert no. 1 — 45%</t>
  </si>
  <si>
    <t xml:space="preserve">GR-2025-023</t>
  </si>
  <si>
    <t xml:space="preserve">Data Center Site D</t>
  </si>
  <si>
    <t xml:space="preserve">Load bank tested</t>
  </si>
  <si>
    <t xml:space="preserve">GR-2025-024</t>
  </si>
  <si>
    <t xml:space="preserve">Year-end surge delivery</t>
  </si>
  <si>
    <t xml:space="preserve">GR-2026-001</t>
  </si>
  <si>
    <t xml:space="preserve">Site D - Bodega 3</t>
  </si>
  <si>
    <t xml:space="preserve">GR-2026-002</t>
  </si>
  <si>
    <t xml:space="preserve">MTR 2026-01 on file</t>
  </si>
  <si>
    <t xml:space="preserve">GR-2026-003</t>
  </si>
  <si>
    <t xml:space="preserve">Calibration cert received</t>
  </si>
  <si>
    <t xml:space="preserve">GR-2026-004</t>
  </si>
  <si>
    <t xml:space="preserve">DOA check — all passed</t>
  </si>
  <si>
    <t xml:space="preserve">GR-2026-005</t>
  </si>
  <si>
    <t xml:space="preserve">Lot numbers recorded</t>
  </si>
  <si>
    <t xml:space="preserve">GR-2026-006</t>
  </si>
  <si>
    <t xml:space="preserve">Fuel Depot Site D</t>
  </si>
  <si>
    <t xml:space="preserve">DR #2026-JAN-015</t>
  </si>
  <si>
    <t xml:space="preserve">💳  Pinnacle Construction &amp; Development Corporation — ACCOUNTS PAYABLE &amp; PAYMENT TRACKER</t>
  </si>
  <si>
    <t xml:space="preserve">Invoice &amp; Payment Records  ·  Finance Division  ·  2024–2026</t>
  </si>
  <si>
    <t xml:space="preserve">AP Record</t>
  </si>
  <si>
    <t xml:space="preserve">Invoice No.</t>
  </si>
  <si>
    <t xml:space="preserve">Invoice Date</t>
  </si>
  <si>
    <t xml:space="preserve">Invoice Amount (₱)</t>
  </si>
  <si>
    <t xml:space="preserve">Due Date</t>
  </si>
  <si>
    <t xml:space="preserve">Date Paid</t>
  </si>
  <si>
    <t xml:space="preserve">Amount Paid (₱)</t>
  </si>
  <si>
    <t xml:space="preserve">Outstanding (₱)</t>
  </si>
  <si>
    <t xml:space="preserve">Days Outstanding</t>
  </si>
  <si>
    <t xml:space="preserve">Payment Mode</t>
  </si>
  <si>
    <t xml:space="preserve">Payment Status</t>
  </si>
  <si>
    <t xml:space="preserve">AP-2024-001</t>
  </si>
  <si>
    <t xml:space="preserve">HPI-2024-00123</t>
  </si>
  <si>
    <t xml:space="preserve">Bank Transfer</t>
  </si>
  <si>
    <t xml:space="preserve">✅ Paid</t>
  </si>
  <si>
    <t xml:space="preserve">AP-2024-002</t>
  </si>
  <si>
    <t xml:space="preserve">SA-INV-24-0089</t>
  </si>
  <si>
    <t xml:space="preserve">Check</t>
  </si>
  <si>
    <t xml:space="preserve">AP-2024-003</t>
  </si>
  <si>
    <t xml:space="preserve">SA-INV-24-0090</t>
  </si>
  <si>
    <t xml:space="preserve">AP-2024-004</t>
  </si>
  <si>
    <t xml:space="preserve">WILCON-2024-5678</t>
  </si>
  <si>
    <t xml:space="preserve">AP-2024-005</t>
  </si>
  <si>
    <t xml:space="preserve">SE-PH-2024-00456</t>
  </si>
  <si>
    <t xml:space="preserve">AP-2024-008</t>
  </si>
  <si>
    <t xml:space="preserve">PCL-2024-JAN-089</t>
  </si>
  <si>
    <t xml:space="preserve">AP-2024-009</t>
  </si>
  <si>
    <t xml:space="preserve">HPI-2024-00234</t>
  </si>
  <si>
    <t xml:space="preserve">AP-2024-012</t>
  </si>
  <si>
    <t xml:space="preserve">SA-INV-24-0145</t>
  </si>
  <si>
    <t xml:space="preserve">AP-2024-013</t>
  </si>
  <si>
    <t xml:space="preserve">HP-PH-2024-0234</t>
  </si>
  <si>
    <t xml:space="preserve">AP-2024-017</t>
  </si>
  <si>
    <t xml:space="preserve">SE-PH-2024-00567</t>
  </si>
  <si>
    <t xml:space="preserve">AP-2024-018</t>
  </si>
  <si>
    <t xml:space="preserve">SIE-PH-2024-0089</t>
  </si>
  <si>
    <t xml:space="preserve">AP-2024-022</t>
  </si>
  <si>
    <t xml:space="preserve">Komatsu Philippines</t>
  </si>
  <si>
    <t xml:space="preserve">KOM-2024-INV-001</t>
  </si>
  <si>
    <t xml:space="preserve">AP-2024-024</t>
  </si>
  <si>
    <t xml:space="preserve">CEMEX-2024-1234</t>
  </si>
  <si>
    <t xml:space="preserve">AP-2024-031</t>
  </si>
  <si>
    <t xml:space="preserve">DELL-PH-2024-0567</t>
  </si>
  <si>
    <t xml:space="preserve">AP-2024-034</t>
  </si>
  <si>
    <t xml:space="preserve">SA-INV-24-0345</t>
  </si>
  <si>
    <t xml:space="preserve">AP-2024-039</t>
  </si>
  <si>
    <t xml:space="preserve">LEN-PH-2024-0123</t>
  </si>
  <si>
    <t xml:space="preserve">AP-2024-047</t>
  </si>
  <si>
    <t xml:space="preserve">ABB-PH-2024-0056</t>
  </si>
  <si>
    <t xml:space="preserve">AP-2024-052</t>
  </si>
  <si>
    <t xml:space="preserve">SE-PH-2024-01234</t>
  </si>
  <si>
    <t xml:space="preserve">AP-2024-056</t>
  </si>
  <si>
    <t xml:space="preserve">DELL-PH-2024-1234</t>
  </si>
  <si>
    <t xml:space="preserve">AP-2024-060</t>
  </si>
  <si>
    <t xml:space="preserve">EEI-2024-PC-001</t>
  </si>
  <si>
    <t xml:space="preserve">AP-2024-066</t>
  </si>
  <si>
    <t xml:space="preserve">HPI-2024-01345</t>
  </si>
  <si>
    <t xml:space="preserve">AP-2024-067</t>
  </si>
  <si>
    <t xml:space="preserve">SA-INV-24-0789</t>
  </si>
  <si>
    <t xml:space="preserve">AP-2024-069</t>
  </si>
  <si>
    <t xml:space="preserve">ABB-PH-2024-0234</t>
  </si>
  <si>
    <t xml:space="preserve">AP-2024-072</t>
  </si>
  <si>
    <t xml:space="preserve">Epson Philippines</t>
  </si>
  <si>
    <t xml:space="preserve">EPS-PH-2024-0456</t>
  </si>
  <si>
    <t xml:space="preserve">AP-2024-075</t>
  </si>
  <si>
    <t xml:space="preserve">SE-PH-2024-01567</t>
  </si>
  <si>
    <t xml:space="preserve">AP-2024-078</t>
  </si>
  <si>
    <t xml:space="preserve">SCI-2024-PC-001</t>
  </si>
  <si>
    <t xml:space="preserve">AP-2024-081</t>
  </si>
  <si>
    <t xml:space="preserve">HPI-2024-02012</t>
  </si>
  <si>
    <t xml:space="preserve">AP-2024-082</t>
  </si>
  <si>
    <t xml:space="preserve">HP-PH-2024-2345</t>
  </si>
  <si>
    <t xml:space="preserve">AP-2024-085</t>
  </si>
  <si>
    <t xml:space="preserve">Shell Philippines</t>
  </si>
  <si>
    <t xml:space="preserve">SHELL-2024-DEC-078</t>
  </si>
  <si>
    <t xml:space="preserve">AP-2025-001</t>
  </si>
  <si>
    <t xml:space="preserve">HPI-2025-00123</t>
  </si>
  <si>
    <t xml:space="preserve">AP-2025-002</t>
  </si>
  <si>
    <t xml:space="preserve">SA-INV-25-0056</t>
  </si>
  <si>
    <t xml:space="preserve">AP-2025-004</t>
  </si>
  <si>
    <t xml:space="preserve">SE-PH-2025-00123</t>
  </si>
  <si>
    <t xml:space="preserve">AP-2025-007</t>
  </si>
  <si>
    <t xml:space="preserve">CEMEX-2025-0345</t>
  </si>
  <si>
    <t xml:space="preserve">AP-2025-009</t>
  </si>
  <si>
    <t xml:space="preserve">ABB-PH-2025-0034</t>
  </si>
  <si>
    <t xml:space="preserve">AP-2025-010</t>
  </si>
  <si>
    <t xml:space="preserve">KOM-2025-INV-001</t>
  </si>
  <si>
    <t xml:space="preserve">AP-2025-013</t>
  </si>
  <si>
    <t xml:space="preserve">DELL-PH-2025-0234</t>
  </si>
  <si>
    <t xml:space="preserve">AP-2025-016</t>
  </si>
  <si>
    <t xml:space="preserve">EEI-2025-PC-001</t>
  </si>
  <si>
    <t xml:space="preserve">⏳ Partially Paid</t>
  </si>
  <si>
    <t xml:space="preserve">AP-2025-019</t>
  </si>
  <si>
    <t xml:space="preserve">HPI-2025-00567</t>
  </si>
  <si>
    <t xml:space="preserve">AP-2025-020</t>
  </si>
  <si>
    <t xml:space="preserve">SA-INV-25-0234</t>
  </si>
  <si>
    <t xml:space="preserve">AP-2025-025</t>
  </si>
  <si>
    <t xml:space="preserve">SIE-PH-2025-0045</t>
  </si>
  <si>
    <t xml:space="preserve">AP-2025-033</t>
  </si>
  <si>
    <t xml:space="preserve">HP-PH-2025-0789</t>
  </si>
  <si>
    <t xml:space="preserve">AP-2025-034</t>
  </si>
  <si>
    <t xml:space="preserve">Volvo Financial Svcs</t>
  </si>
  <si>
    <t xml:space="preserve">VOLVO-2025-INV-001</t>
  </si>
  <si>
    <t xml:space="preserve">AP-2025-036</t>
  </si>
  <si>
    <t xml:space="preserve">HPI-2025-01234</t>
  </si>
  <si>
    <t xml:space="preserve">AP-2025-038</t>
  </si>
  <si>
    <t xml:space="preserve">SCI-2025-PC-001</t>
  </si>
  <si>
    <t xml:space="preserve">AP-2025-041</t>
  </si>
  <si>
    <t xml:space="preserve">SE-PH-2025-01234</t>
  </si>
  <si>
    <t xml:space="preserve">AP-2025-042</t>
  </si>
  <si>
    <t xml:space="preserve">CEMEX-2025-1234</t>
  </si>
  <si>
    <t xml:space="preserve">AP-2025-053</t>
  </si>
  <si>
    <t xml:space="preserve">HPI-2025-02345</t>
  </si>
  <si>
    <t xml:space="preserve">AP-2025-054</t>
  </si>
  <si>
    <t xml:space="preserve">SA-INV-25-0678</t>
  </si>
  <si>
    <t xml:space="preserve">AP-2025-060</t>
  </si>
  <si>
    <t xml:space="preserve">EEI-2025-PC-002</t>
  </si>
  <si>
    <t xml:space="preserve">🔴 Overdue</t>
  </si>
  <si>
    <t xml:space="preserve">AP-2025-065</t>
  </si>
  <si>
    <t xml:space="preserve">SE-PH-2025-02345</t>
  </si>
  <si>
    <t xml:space="preserve">AP-2025-066</t>
  </si>
  <si>
    <t xml:space="preserve">HPI-2025-03456</t>
  </si>
  <si>
    <t xml:space="preserve">AP-2026-001</t>
  </si>
  <si>
    <t xml:space="preserve">HPI-2026-00123</t>
  </si>
  <si>
    <t xml:space="preserve">AP-2026-002</t>
  </si>
  <si>
    <t xml:space="preserve">SA-INV-26-0012</t>
  </si>
  <si>
    <t xml:space="preserve">AP-2026-003</t>
  </si>
  <si>
    <t xml:space="preserve">SE-PH-2026-00045</t>
  </si>
  <si>
    <t xml:space="preserve">📋 Pending</t>
  </si>
  <si>
    <t xml:space="preserve">AP-2026-004</t>
  </si>
  <si>
    <t xml:space="preserve">DELL-PH-2026-0045</t>
  </si>
  <si>
    <t xml:space="preserve">AP-2026-005</t>
  </si>
  <si>
    <t xml:space="preserve">3M-PH-2026-0023</t>
  </si>
  <si>
    <t xml:space="preserve">AP-2026-006</t>
  </si>
  <si>
    <t xml:space="preserve">PCL-2026-JAN-012</t>
  </si>
  <si>
    <t xml:space="preserve">AP-2026-007</t>
  </si>
  <si>
    <t xml:space="preserve">Philippine Industrial Corp</t>
  </si>
  <si>
    <t xml:space="preserve">PIC-2026-0034</t>
  </si>
  <si>
    <t xml:space="preserve">AP-2026-009</t>
  </si>
  <si>
    <t xml:space="preserve">EEI-2026-PC-001</t>
  </si>
  <si>
    <t xml:space="preserve">AP-2026-013</t>
  </si>
  <si>
    <t xml:space="preserve">SIE-PH-2026-0012</t>
  </si>
  <si>
    <t xml:space="preserve">AP-2026-014</t>
  </si>
  <si>
    <t xml:space="preserve">SCI-2026-PC-001</t>
  </si>
  <si>
    <t xml:space="preserve">AP-2026-020</t>
  </si>
  <si>
    <t xml:space="preserve">ABB-PH-2026-0012</t>
  </si>
  <si>
    <t xml:space="preserve">⭐  Pinnacle Construction &amp; Development Corporation — SUPPLIER PERFORMANCE SCORECARD</t>
  </si>
  <si>
    <t xml:space="preserve">Annual Evaluation  ·  Procurement Division  ·  FY 2024–2025</t>
  </si>
  <si>
    <t xml:space="preserve">On-Time Delivery %</t>
  </si>
  <si>
    <t xml:space="preserve">Quality Acceptance %</t>
  </si>
  <si>
    <t xml:space="preserve">Invoice Accuracy %</t>
  </si>
  <si>
    <t xml:space="preserve">Responsiveness (1-10)</t>
  </si>
  <si>
    <t xml:space="preserve">Compliance Score (1-10)</t>
  </si>
  <si>
    <t xml:space="preserve">Overall Score</t>
  </si>
  <si>
    <t xml:space="preserve">Grade</t>
  </si>
  <si>
    <t xml:space="preserve">Recommendation</t>
  </si>
  <si>
    <t xml:space="preserve">Contract Status</t>
  </si>
  <si>
    <t xml:space="preserve">A+</t>
  </si>
  <si>
    <t xml:space="preserve">Renew &amp; Expand</t>
  </si>
  <si>
    <t xml:space="preserve">Active Premium</t>
  </si>
  <si>
    <t xml:space="preserve">Republic Cement &amp; Building Materials</t>
  </si>
  <si>
    <t xml:space="preserve">B</t>
  </si>
  <si>
    <t xml:space="preserve">Review</t>
  </si>
  <si>
    <t xml:space="preserve">Active</t>
  </si>
  <si>
    <t xml:space="preserve">CEMEX Holdings Philippines</t>
  </si>
  <si>
    <t xml:space="preserve">A</t>
  </si>
  <si>
    <t xml:space="preserve">Renew</t>
  </si>
  <si>
    <t xml:space="preserve">C</t>
  </si>
  <si>
    <t xml:space="preserve">Probation</t>
  </si>
  <si>
    <t xml:space="preserve">Watch List</t>
  </si>
  <si>
    <t xml:space="preserve">Schneider Electric Philippines</t>
  </si>
  <si>
    <t xml:space="preserve">Shell Philippines Exploration</t>
  </si>
  <si>
    <t xml:space="preserve">Canon Marketing Philippines</t>
  </si>
  <si>
    <t xml:space="preserve">Goldilocks Bookware &amp; Office</t>
  </si>
  <si>
    <t xml:space="preserve">Meralco</t>
  </si>
  <si>
    <t xml:space="preserve">Maynilad Water Services</t>
  </si>
  <si>
    <t xml:space="preserve">Pacific Paint (Boysen) Philippines</t>
  </si>
  <si>
    <t xml:space="preserve">Davies Paints Philippines</t>
  </si>
  <si>
    <t xml:space="preserve">Neltex Development Co.</t>
  </si>
  <si>
    <t xml:space="preserve">Under Review</t>
  </si>
  <si>
    <t xml:space="preserve">📊  Pinnacle Construction &amp; Development Corporation — PROCUREMENT ANALYTICS DASHBOARD</t>
  </si>
  <si>
    <t xml:space="preserve">Month</t>
  </si>
  <si>
    <t xml:space="preserve">PO Spend (₱M)</t>
  </si>
  <si>
    <t xml:space="preserve">Value (₱M)</t>
  </si>
  <si>
    <t xml:space="preserve">Key Metrics &amp; Visual Analytics  ·  Procurement Division  ·  FY 2024–2026  ·  Generated: April 23, 2026</t>
  </si>
  <si>
    <t xml:space="preserve">Jan-24</t>
  </si>
  <si>
    <t xml:space="preserve">Feb-24</t>
  </si>
  <si>
    <t xml:space="preserve">TOTAL POs ISSUED</t>
  </si>
  <si>
    <t xml:space="preserve">TOTAL PO VALUE</t>
  </si>
  <si>
    <t xml:space="preserve">ACTIVE SUPPLIERS</t>
  </si>
  <si>
    <t xml:space="preserve">ON-TIME DELIVERY</t>
  </si>
  <si>
    <t xml:space="preserve">Mar-24</t>
  </si>
  <si>
    <t xml:space="preserve">105</t>
  </si>
  <si>
    <t xml:space="preserve">₱485.2M</t>
  </si>
  <si>
    <t xml:space="preserve">40</t>
  </si>
  <si>
    <t xml:space="preserve">94.2%</t>
  </si>
  <si>
    <t xml:space="preserve">Apr-24</t>
  </si>
  <si>
    <t xml:space="preserve">FY 2024–2026</t>
  </si>
  <si>
    <t xml:space="preserve">All POs 2024–2026</t>
  </si>
  <si>
    <t xml:space="preserve">Accredited Vendors</t>
  </si>
  <si>
    <t xml:space="preserve">2024–2025 Average</t>
  </si>
  <si>
    <t xml:space="preserve">May-24</t>
  </si>
  <si>
    <t xml:space="preserve">Jun-24</t>
  </si>
  <si>
    <t xml:space="preserve">📦  SPEND BY CATEGORY</t>
  </si>
  <si>
    <t xml:space="preserve">Jul-24</t>
  </si>
  <si>
    <t xml:space="preserve">No. of POs</t>
  </si>
  <si>
    <t xml:space="preserve">Total Value (₱)</t>
  </si>
  <si>
    <t xml:space="preserve">% of Total</t>
  </si>
  <si>
    <t xml:space="preserve">Avg PO Size (₱)</t>
  </si>
  <si>
    <t xml:space="preserve">Top Supplier</t>
  </si>
  <si>
    <t xml:space="preserve">On-Time %</t>
  </si>
  <si>
    <t xml:space="preserve">Quality %</t>
  </si>
  <si>
    <t xml:space="preserve">Aug-24</t>
  </si>
  <si>
    <t xml:space="preserve">Sep-24</t>
  </si>
  <si>
    <t xml:space="preserve">SteelAsia Manufacturing Corp.</t>
  </si>
  <si>
    <t xml:space="preserve">Oct-24</t>
  </si>
  <si>
    <t xml:space="preserve">Nov-24</t>
  </si>
  <si>
    <t xml:space="preserve">Dec-24</t>
  </si>
  <si>
    <t xml:space="preserve">Jan-25</t>
  </si>
  <si>
    <t xml:space="preserve">Petron Corporation / Shell</t>
  </si>
  <si>
    <t xml:space="preserve">Feb-25</t>
  </si>
  <si>
    <t xml:space="preserve">Mar-25</t>
  </si>
  <si>
    <t xml:space="preserve">Apr-25</t>
  </si>
  <si>
    <t xml:space="preserve">Boysen / Neltex / Davies</t>
  </si>
  <si>
    <t xml:space="preserve">May-25</t>
  </si>
  <si>
    <t xml:space="preserve">Lafarge Holcim Trading PH</t>
  </si>
  <si>
    <t xml:space="preserve">Jun-25</t>
  </si>
  <si>
    <t xml:space="preserve">Jul-25</t>
  </si>
  <si>
    <t xml:space="preserve">Philippine Industrial Corp.</t>
  </si>
  <si>
    <t xml:space="preserve">Aug-25</t>
  </si>
  <si>
    <t xml:space="preserve">PLDT Inc. / Globe Telecom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</si>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</sst>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₱#,##0"/>
    <numFmt numFmtId="166" formatCode="yyyy\-mm\-dd"/>
    <numFmt numFmtId="167" formatCode="\₱#,##0.00"/>
    <numFmt numFmtId="168" formatCode="0.0%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0"/>
      <color rgb="FFDBEAF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E293B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9"/>
      <color rgb="FF991B1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F2D5A"/>
        <bgColor rgb="FF1E293B"/>
      </patternFill>
    </fill>
    <fill>
      <patternFill patternType="solid">
        <fgColor rgb="FF1E4FAD"/>
        <bgColor rgb="FF1E40AF"/>
      </patternFill>
    </fill>
    <fill>
      <patternFill patternType="solid">
        <fgColor rgb="FFFFFFFF"/>
        <bgColor rgb="FFF9F9F9"/>
      </patternFill>
    </fill>
    <fill>
      <patternFill patternType="solid">
        <fgColor rgb="FFEFF6FF"/>
        <bgColor rgb="FFF9F9F9"/>
      </patternFill>
    </fill>
    <fill>
      <patternFill patternType="solid">
        <fgColor rgb="FFDCFCE7"/>
        <bgColor rgb="FFCCFBF1"/>
      </patternFill>
    </fill>
    <fill>
      <patternFill patternType="solid">
        <fgColor rgb="FFDBEAFE"/>
        <bgColor rgb="FFE2E8F0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0F766E"/>
        <bgColor rgb="FF008080"/>
      </patternFill>
    </fill>
    <fill>
      <patternFill patternType="solid">
        <fgColor rgb="FF166534"/>
        <bgColor rgb="FF0F766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2D5A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1E4FAD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DBEAFE"/>
      <rgbColor rgb="FF878787"/>
      <rgbColor rgb="FF9999FF"/>
      <rgbColor rgb="FFC0504D"/>
      <rgbColor rgb="FFFEF3C7"/>
      <rgbColor rgb="FFCCFBF1"/>
      <rgbColor rgb="FF660066"/>
      <rgbColor rgb="FFFF8080"/>
      <rgbColor rgb="FF1E4FA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2E8F0"/>
      <rgbColor rgb="FFF9F9F9"/>
      <rgbColor rgb="FFEFF6FF"/>
      <rgbColor rgb="FFFF99CC"/>
      <rgbColor rgb="FFCC99FF"/>
      <rgbColor rgb="FFFEE2E2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F2D5A"/>
      <rgbColor rgb="FF339966"/>
      <rgbColor rgb="FF003300"/>
      <rgbColor rgb="FF333300"/>
      <rgbColor rgb="FF991B1B"/>
      <rgbColor rgb="FF7C3AED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Procurement Spend 2024–2026 (₱M)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'Procurement Dashboard'!T1</c:f>
              <c:strCache>
                <c:ptCount val="1"/>
                <c:pt idx="0">
                  <c:v>PO Spend (₱M)</c:v>
                </c:pt>
              </c:strCache>
            </c:strRef>
          </c:tx>
          <c:spPr>
            <a:solidFill>
              <a:srgbClr val="1e4fad"/>
            </a:solidFill>
            <a:ln w="20160">
              <a:solidFill>
                <a:srgbClr val="1e4fa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'Procurement Dashboard'!$S$2:$S$29</c:f>
              <c:strCache>
                <c:ptCount val="28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</c:strCache>
            </c:strRef>
          </c:cat>
          <c:val>
            <c:numRef>
              <c:f>'Procurement Dashboard'!$T$2:$T$29</c:f>
              <c:numCache>
                <c:formatCode>General</c:formatCode>
                <c:ptCount val="28"/>
                <c:pt idx="0">
                  <c:v>3.35</c:v>
                </c:pt>
                <c:pt idx="1">
                  <c:v>5.24</c:v>
                </c:pt>
                <c:pt idx="2">
                  <c:v>9.85</c:v>
                </c:pt>
                <c:pt idx="3">
                  <c:v>9.25</c:v>
                </c:pt>
                <c:pt idx="4">
                  <c:v>5.85</c:v>
                </c:pt>
                <c:pt idx="5">
                  <c:v>4.25</c:v>
                </c:pt>
                <c:pt idx="6">
                  <c:v>10.85</c:v>
                </c:pt>
                <c:pt idx="7">
                  <c:v>9.48</c:v>
                </c:pt>
                <c:pt idx="8">
                  <c:v>13.28</c:v>
                </c:pt>
                <c:pt idx="9">
                  <c:v>12.58</c:v>
                </c:pt>
                <c:pt idx="10">
                  <c:v>9.85</c:v>
                </c:pt>
                <c:pt idx="11">
                  <c:v>8.95</c:v>
                </c:pt>
                <c:pt idx="12">
                  <c:v>3.25</c:v>
                </c:pt>
                <c:pt idx="13">
                  <c:v>15.25</c:v>
                </c:pt>
                <c:pt idx="14">
                  <c:v>34.8</c:v>
                </c:pt>
                <c:pt idx="15">
                  <c:v>9.85</c:v>
                </c:pt>
                <c:pt idx="16">
                  <c:v>28.5</c:v>
                </c:pt>
                <c:pt idx="17">
                  <c:v>24.5</c:v>
                </c:pt>
                <c:pt idx="18">
                  <c:v>18.98</c:v>
                </c:pt>
                <c:pt idx="19">
                  <c:v>10.25</c:v>
                </c:pt>
                <c:pt idx="20">
                  <c:v>5.85</c:v>
                </c:pt>
                <c:pt idx="21">
                  <c:v>9.85</c:v>
                </c:pt>
                <c:pt idx="22">
                  <c:v>21.25</c:v>
                </c:pt>
                <c:pt idx="23">
                  <c:v>6.85</c:v>
                </c:pt>
                <c:pt idx="24">
                  <c:v>8.5</c:v>
                </c:pt>
                <c:pt idx="25">
                  <c:v>36.85</c:v>
                </c:pt>
                <c:pt idx="26">
                  <c:v>48.5</c:v>
                </c:pt>
                <c:pt idx="27">
                  <c:v>8.85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838863"/>
        <c:axId val="85354544"/>
      </c:lineChart>
      <c:catAx>
        <c:axId val="678388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54544"/>
        <c:crosses val="autoZero"/>
        <c:auto val="1"/>
        <c:lblAlgn val="ctr"/>
        <c:lblOffset val="100"/>
        <c:noMultiLvlLbl val="0"/>
      </c:catAx>
      <c:valAx>
        <c:axId val="85354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₱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38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Procurement Spend by Category (₱M)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'Procurement Dashboard'!V1</c:f>
              <c:strCache>
                <c:ptCount val="1"/>
                <c:pt idx="0">
                  <c:v>Value (₱M)</c:v>
                </c:pt>
              </c:strCache>
            </c:strRef>
          </c:tx>
          <c:spPr>
            <a:solidFill>
              <a:srgbClr val="0f76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'Procurement Dashboard'!$U$2:$U$15</c:f>
              <c:strCache>
                <c:ptCount val="14"/>
                <c:pt idx="0">
                  <c:v>Cement &amp; Concrete</c:v>
                </c:pt>
                <c:pt idx="1">
                  <c:v>Steel &amp; Metal</c:v>
                </c:pt>
                <c:pt idx="2">
                  <c:v>Engineering Services</c:v>
                </c:pt>
                <c:pt idx="3">
                  <c:v>Electrical &amp; Mechanical</c:v>
                </c:pt>
                <c:pt idx="4">
                  <c:v>Heavy Equipment</c:v>
                </c:pt>
                <c:pt idx="5">
                  <c:v>Fuel &amp; Lubricants</c:v>
                </c:pt>
                <c:pt idx="6">
                  <c:v>IT Equipment</c:v>
                </c:pt>
                <c:pt idx="7">
                  <c:v>Safety Equipment</c:v>
                </c:pt>
                <c:pt idx="8">
                  <c:v>Construction Materials</c:v>
                </c:pt>
                <c:pt idx="9">
                  <c:v>Aggregates &amp; Sand</c:v>
                </c:pt>
                <c:pt idx="10">
                  <c:v>Office Supplies</c:v>
                </c:pt>
                <c:pt idx="11">
                  <c:v>Chemicals &amp; Sealants</c:v>
                </c:pt>
                <c:pt idx="12">
                  <c:v>Telecommunications</c:v>
                </c:pt>
                <c:pt idx="13">
                  <c:v>Utilities</c:v>
                </c:pt>
              </c:strCache>
            </c:strRef>
          </c:cat>
          <c:val>
            <c:numRef>
              <c:f>'Procurement Dashboard'!$V$2:$V$15</c:f>
              <c:numCache>
                <c:formatCode>General</c:formatCode>
                <c:ptCount val="14"/>
                <c:pt idx="0">
                  <c:v>124.85</c:v>
                </c:pt>
                <c:pt idx="1">
                  <c:v>89.25</c:v>
                </c:pt>
                <c:pt idx="2">
                  <c:v>130.8</c:v>
                </c:pt>
                <c:pt idx="3">
                  <c:v>68.95</c:v>
                </c:pt>
                <c:pt idx="4">
                  <c:v>71</c:v>
                </c:pt>
                <c:pt idx="5">
                  <c:v>29.85</c:v>
                </c:pt>
                <c:pt idx="6">
                  <c:v>15.25</c:v>
                </c:pt>
                <c:pt idx="7">
                  <c:v>5.45</c:v>
                </c:pt>
                <c:pt idx="8">
                  <c:v>4.98</c:v>
                </c:pt>
                <c:pt idx="9">
                  <c:v>4.85</c:v>
                </c:pt>
                <c:pt idx="10">
                  <c:v>1.25</c:v>
                </c:pt>
                <c:pt idx="11">
                  <c:v>2.85</c:v>
                </c:pt>
                <c:pt idx="12">
                  <c:v>0.21</c:v>
                </c:pt>
                <c:pt idx="13">
                  <c:v>0.185</c:v>
                </c:pt>
              </c:numCache>
            </c:numRef>
          </c:val>
        </c:ser>
        <c:gapWidth val="150"/>
        <c:overlap val="0"/>
        <c:axId val="55230217"/>
        <c:axId val="51464193"/>
      </c:barChart>
      <c:catAx>
        <c:axId val="552302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₱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64193"/>
        <c:crosses val="autoZero"/>
        <c:auto val="1"/>
        <c:lblAlgn val="ctr"/>
        <c:lblOffset val="100"/>
        <c:noMultiLvlLbl val="0"/>
      </c:catAx>
      <c:valAx>
        <c:axId val="51464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30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Spend Categories (% of 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'Procurement Dashboard'!V1</c:f>
              <c:strCache>
                <c:ptCount val="1"/>
                <c:pt idx="0">
                  <c:v>Value (₱M)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'Procurement Dashboard'!$U$2:$U$7</c:f>
              <c:strCache>
                <c:ptCount val="6"/>
                <c:pt idx="0">
                  <c:v>Cement &amp; Concrete</c:v>
                </c:pt>
                <c:pt idx="1">
                  <c:v>Steel &amp; Metal</c:v>
                </c:pt>
                <c:pt idx="2">
                  <c:v>Engineering Services</c:v>
                </c:pt>
                <c:pt idx="3">
                  <c:v>Electrical &amp; Mechanical</c:v>
                </c:pt>
                <c:pt idx="4">
                  <c:v>Heavy Equipment</c:v>
                </c:pt>
                <c:pt idx="5">
                  <c:v>Fuel &amp; Lubricants</c:v>
                </c:pt>
              </c:strCache>
            </c:strRef>
          </c:cat>
          <c:val>
            <c:numRef>
              <c:f>'Procurement Dashboard'!$V$2:$V$7</c:f>
              <c:numCache>
                <c:formatCode>General</c:formatCode>
                <c:ptCount val="6"/>
                <c:pt idx="0">
                  <c:v>124.85</c:v>
                </c:pt>
                <c:pt idx="1">
                  <c:v>89.25</c:v>
                </c:pt>
                <c:pt idx="2">
                  <c:v>130.8</c:v>
                </c:pt>
                <c:pt idx="3">
                  <c:v>68.95</c:v>
                </c:pt>
                <c:pt idx="4">
                  <c:v>71</c:v>
                </c:pt>
                <c:pt idx="5">
                  <c:v>29.85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8</xdr:col>
      <xdr:colOff>196560</xdr:colOff>
      <xdr:row>51</xdr:row>
      <xdr:rowOff>86760</xdr:rowOff>
    </xdr:to>
    <xdr:graphicFrame>
      <xdr:nvGraphicFramePr>
        <xdr:cNvPr id="0" name="Chart 1"/>
        <xdr:cNvGraphicFramePr/>
      </xdr:nvGraphicFramePr>
      <xdr:xfrm>
        <a:off x="0" y="63723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20</xdr:col>
      <xdr:colOff>581760</xdr:colOff>
      <xdr:row>51</xdr:row>
      <xdr:rowOff>86760</xdr:rowOff>
    </xdr:to>
    <xdr:graphicFrame>
      <xdr:nvGraphicFramePr>
        <xdr:cNvPr id="1" name="Chart 2"/>
        <xdr:cNvGraphicFramePr/>
      </xdr:nvGraphicFramePr>
      <xdr:xfrm>
        <a:off x="9163080" y="63723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5</xdr:col>
      <xdr:colOff>120960</xdr:colOff>
      <xdr:row>65</xdr:row>
      <xdr:rowOff>128880</xdr:rowOff>
    </xdr:to>
    <xdr:graphicFrame>
      <xdr:nvGraphicFramePr>
        <xdr:cNvPr id="2" name="Chart 3"/>
        <xdr:cNvGraphicFramePr/>
      </xdr:nvGraphicFramePr>
      <xdr:xfrm>
        <a:off x="0" y="98013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2D5A"/>
    <pageSetUpPr fitToPage="false"/>
  </sheetPr>
  <dimension ref="A1:N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4" min="13" style="0" width="10"/>
  </cols>
  <sheetData>
    <row r="1" customFormat="false" ht="4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9.5" hidden="false" customHeight="true" outlineLevel="0" collapsed="false">
      <c r="A4" s="4" t="s">
        <v>16</v>
      </c>
      <c r="B4" s="5" t="s">
        <v>17</v>
      </c>
      <c r="C4" s="5" t="s">
        <v>18</v>
      </c>
      <c r="D4" s="6" t="s">
        <v>19</v>
      </c>
      <c r="E4" s="5" t="s">
        <v>20</v>
      </c>
      <c r="F4" s="5" t="s">
        <v>21</v>
      </c>
      <c r="G4" s="5" t="s">
        <v>22</v>
      </c>
      <c r="H4" s="7" t="s">
        <v>23</v>
      </c>
      <c r="I4" s="7" t="s">
        <v>24</v>
      </c>
      <c r="J4" s="8" t="n">
        <v>5000</v>
      </c>
      <c r="K4" s="7" t="s">
        <v>25</v>
      </c>
      <c r="L4" s="7" t="s">
        <v>26</v>
      </c>
      <c r="M4" s="7" t="n">
        <v>7</v>
      </c>
      <c r="N4" s="7" t="s">
        <v>27</v>
      </c>
    </row>
    <row r="5" customFormat="false" ht="19.5" hidden="false" customHeight="true" outlineLevel="0" collapsed="false">
      <c r="A5" s="9" t="s">
        <v>28</v>
      </c>
      <c r="B5" s="10" t="s">
        <v>29</v>
      </c>
      <c r="C5" s="10" t="s">
        <v>18</v>
      </c>
      <c r="D5" s="11" t="s">
        <v>30</v>
      </c>
      <c r="E5" s="10" t="s">
        <v>31</v>
      </c>
      <c r="F5" s="10" t="s">
        <v>32</v>
      </c>
      <c r="G5" s="10" t="s">
        <v>33</v>
      </c>
      <c r="H5" s="12" t="s">
        <v>34</v>
      </c>
      <c r="I5" s="12" t="s">
        <v>35</v>
      </c>
      <c r="J5" s="13" t="n">
        <v>3000</v>
      </c>
      <c r="K5" s="12" t="s">
        <v>36</v>
      </c>
      <c r="L5" s="12" t="s">
        <v>26</v>
      </c>
      <c r="M5" s="12" t="n">
        <v>10</v>
      </c>
      <c r="N5" s="12" t="s">
        <v>27</v>
      </c>
    </row>
    <row r="6" customFormat="false" ht="19.5" hidden="false" customHeight="true" outlineLevel="0" collapsed="false">
      <c r="A6" s="4" t="s">
        <v>37</v>
      </c>
      <c r="B6" s="5" t="s">
        <v>38</v>
      </c>
      <c r="C6" s="5" t="s">
        <v>18</v>
      </c>
      <c r="D6" s="6" t="s">
        <v>39</v>
      </c>
      <c r="E6" s="5" t="s">
        <v>40</v>
      </c>
      <c r="F6" s="5" t="s">
        <v>41</v>
      </c>
      <c r="G6" s="5" t="s">
        <v>42</v>
      </c>
      <c r="H6" s="7" t="s">
        <v>43</v>
      </c>
      <c r="I6" s="7" t="s">
        <v>24</v>
      </c>
      <c r="J6" s="8" t="n">
        <v>4000</v>
      </c>
      <c r="K6" s="7" t="s">
        <v>25</v>
      </c>
      <c r="L6" s="7" t="s">
        <v>26</v>
      </c>
      <c r="M6" s="7" t="n">
        <v>7</v>
      </c>
      <c r="N6" s="7" t="s">
        <v>27</v>
      </c>
    </row>
    <row r="7" customFormat="false" ht="19.5" hidden="false" customHeight="true" outlineLevel="0" collapsed="false">
      <c r="A7" s="9" t="s">
        <v>44</v>
      </c>
      <c r="B7" s="10" t="s">
        <v>45</v>
      </c>
      <c r="C7" s="10" t="s">
        <v>46</v>
      </c>
      <c r="D7" s="11" t="s">
        <v>47</v>
      </c>
      <c r="E7" s="10" t="s">
        <v>48</v>
      </c>
      <c r="F7" s="10" t="s">
        <v>49</v>
      </c>
      <c r="G7" s="10" t="s">
        <v>50</v>
      </c>
      <c r="H7" s="12" t="s">
        <v>51</v>
      </c>
      <c r="I7" s="12" t="s">
        <v>24</v>
      </c>
      <c r="J7" s="13" t="n">
        <v>8000</v>
      </c>
      <c r="K7" s="12" t="s">
        <v>25</v>
      </c>
      <c r="L7" s="12" t="s">
        <v>26</v>
      </c>
      <c r="M7" s="12" t="n">
        <v>14</v>
      </c>
      <c r="N7" s="12" t="s">
        <v>27</v>
      </c>
    </row>
    <row r="8" customFormat="false" ht="19.5" hidden="false" customHeight="true" outlineLevel="0" collapsed="false">
      <c r="A8" s="4" t="s">
        <v>52</v>
      </c>
      <c r="B8" s="5" t="s">
        <v>53</v>
      </c>
      <c r="C8" s="5" t="s">
        <v>46</v>
      </c>
      <c r="D8" s="6" t="s">
        <v>54</v>
      </c>
      <c r="E8" s="5" t="s">
        <v>55</v>
      </c>
      <c r="F8" s="5" t="s">
        <v>56</v>
      </c>
      <c r="G8" s="5" t="s">
        <v>57</v>
      </c>
      <c r="H8" s="7" t="s">
        <v>58</v>
      </c>
      <c r="I8" s="7" t="s">
        <v>35</v>
      </c>
      <c r="J8" s="8" t="n">
        <v>5000</v>
      </c>
      <c r="K8" s="7" t="s">
        <v>36</v>
      </c>
      <c r="L8" s="7" t="s">
        <v>26</v>
      </c>
      <c r="M8" s="7" t="n">
        <v>14</v>
      </c>
      <c r="N8" s="7" t="s">
        <v>27</v>
      </c>
    </row>
    <row r="9" customFormat="false" ht="19.5" hidden="false" customHeight="true" outlineLevel="0" collapsed="false">
      <c r="A9" s="9" t="s">
        <v>59</v>
      </c>
      <c r="B9" s="10" t="s">
        <v>60</v>
      </c>
      <c r="C9" s="10" t="s">
        <v>46</v>
      </c>
      <c r="D9" s="11" t="s">
        <v>61</v>
      </c>
      <c r="E9" s="10" t="s">
        <v>62</v>
      </c>
      <c r="F9" s="10" t="s">
        <v>63</v>
      </c>
      <c r="G9" s="10" t="s">
        <v>64</v>
      </c>
      <c r="H9" s="12" t="s">
        <v>65</v>
      </c>
      <c r="I9" s="12" t="s">
        <v>24</v>
      </c>
      <c r="J9" s="13" t="n">
        <v>2000</v>
      </c>
      <c r="K9" s="12" t="s">
        <v>66</v>
      </c>
      <c r="L9" s="12" t="s">
        <v>26</v>
      </c>
      <c r="M9" s="12" t="n">
        <v>10</v>
      </c>
      <c r="N9" s="12" t="s">
        <v>27</v>
      </c>
    </row>
    <row r="10" customFormat="false" ht="19.5" hidden="false" customHeight="true" outlineLevel="0" collapsed="false">
      <c r="A10" s="4" t="s">
        <v>67</v>
      </c>
      <c r="B10" s="5" t="s">
        <v>68</v>
      </c>
      <c r="C10" s="5" t="s">
        <v>69</v>
      </c>
      <c r="D10" s="6" t="s">
        <v>70</v>
      </c>
      <c r="E10" s="5" t="s">
        <v>71</v>
      </c>
      <c r="F10" s="5" t="s">
        <v>72</v>
      </c>
      <c r="G10" s="5" t="s">
        <v>73</v>
      </c>
      <c r="H10" s="7" t="s">
        <v>74</v>
      </c>
      <c r="I10" s="7" t="s">
        <v>24</v>
      </c>
      <c r="J10" s="8" t="n">
        <v>1500</v>
      </c>
      <c r="K10" s="7" t="s">
        <v>36</v>
      </c>
      <c r="L10" s="7" t="s">
        <v>26</v>
      </c>
      <c r="M10" s="7" t="n">
        <v>3</v>
      </c>
      <c r="N10" s="7" t="s">
        <v>27</v>
      </c>
    </row>
    <row r="11" customFormat="false" ht="19.5" hidden="false" customHeight="true" outlineLevel="0" collapsed="false">
      <c r="A11" s="9" t="s">
        <v>75</v>
      </c>
      <c r="B11" s="10" t="s">
        <v>76</v>
      </c>
      <c r="C11" s="10" t="s">
        <v>69</v>
      </c>
      <c r="D11" s="11" t="s">
        <v>77</v>
      </c>
      <c r="E11" s="10" t="s">
        <v>78</v>
      </c>
      <c r="F11" s="10" t="s">
        <v>79</v>
      </c>
      <c r="G11" s="10" t="s">
        <v>80</v>
      </c>
      <c r="H11" s="12" t="s">
        <v>81</v>
      </c>
      <c r="I11" s="12" t="s">
        <v>24</v>
      </c>
      <c r="J11" s="13" t="n">
        <v>1000</v>
      </c>
      <c r="K11" s="12" t="s">
        <v>36</v>
      </c>
      <c r="L11" s="12" t="s">
        <v>26</v>
      </c>
      <c r="M11" s="12" t="n">
        <v>3</v>
      </c>
      <c r="N11" s="12" t="s">
        <v>27</v>
      </c>
    </row>
    <row r="12" customFormat="false" ht="19.5" hidden="false" customHeight="true" outlineLevel="0" collapsed="false">
      <c r="A12" s="4" t="s">
        <v>82</v>
      </c>
      <c r="B12" s="5" t="s">
        <v>83</v>
      </c>
      <c r="C12" s="5" t="s">
        <v>84</v>
      </c>
      <c r="D12" s="6" t="s">
        <v>85</v>
      </c>
      <c r="E12" s="5" t="s">
        <v>86</v>
      </c>
      <c r="F12" s="5" t="s">
        <v>87</v>
      </c>
      <c r="G12" s="5" t="s">
        <v>88</v>
      </c>
      <c r="H12" s="7" t="s">
        <v>89</v>
      </c>
      <c r="I12" s="7" t="s">
        <v>35</v>
      </c>
      <c r="J12" s="8" t="n">
        <v>3000</v>
      </c>
      <c r="K12" s="7" t="s">
        <v>25</v>
      </c>
      <c r="L12" s="7" t="s">
        <v>26</v>
      </c>
      <c r="M12" s="7" t="n">
        <v>14</v>
      </c>
      <c r="N12" s="7" t="s">
        <v>27</v>
      </c>
    </row>
    <row r="13" customFormat="false" ht="19.5" hidden="false" customHeight="true" outlineLevel="0" collapsed="false">
      <c r="A13" s="9" t="s">
        <v>90</v>
      </c>
      <c r="B13" s="10" t="s">
        <v>91</v>
      </c>
      <c r="C13" s="10" t="s">
        <v>84</v>
      </c>
      <c r="D13" s="11" t="s">
        <v>92</v>
      </c>
      <c r="E13" s="10" t="s">
        <v>93</v>
      </c>
      <c r="F13" s="10" t="s">
        <v>94</v>
      </c>
      <c r="G13" s="10" t="s">
        <v>95</v>
      </c>
      <c r="H13" s="12" t="s">
        <v>96</v>
      </c>
      <c r="I13" s="12" t="s">
        <v>35</v>
      </c>
      <c r="J13" s="13" t="n">
        <v>4000</v>
      </c>
      <c r="K13" s="12" t="s">
        <v>25</v>
      </c>
      <c r="L13" s="12" t="s">
        <v>26</v>
      </c>
      <c r="M13" s="12" t="n">
        <v>21</v>
      </c>
      <c r="N13" s="12" t="s">
        <v>27</v>
      </c>
    </row>
    <row r="14" customFormat="false" ht="19.5" hidden="false" customHeight="true" outlineLevel="0" collapsed="false">
      <c r="A14" s="4" t="s">
        <v>97</v>
      </c>
      <c r="B14" s="5" t="s">
        <v>98</v>
      </c>
      <c r="C14" s="5" t="s">
        <v>84</v>
      </c>
      <c r="D14" s="6" t="s">
        <v>99</v>
      </c>
      <c r="E14" s="5" t="s">
        <v>100</v>
      </c>
      <c r="F14" s="5" t="s">
        <v>101</v>
      </c>
      <c r="G14" s="5" t="s">
        <v>102</v>
      </c>
      <c r="H14" s="7" t="s">
        <v>103</v>
      </c>
      <c r="I14" s="7" t="s">
        <v>24</v>
      </c>
      <c r="J14" s="8" t="n">
        <v>3500</v>
      </c>
      <c r="K14" s="7" t="s">
        <v>25</v>
      </c>
      <c r="L14" s="7" t="s">
        <v>26</v>
      </c>
      <c r="M14" s="7" t="n">
        <v>14</v>
      </c>
      <c r="N14" s="7" t="s">
        <v>27</v>
      </c>
    </row>
    <row r="15" customFormat="false" ht="19.5" hidden="false" customHeight="true" outlineLevel="0" collapsed="false">
      <c r="A15" s="9" t="s">
        <v>104</v>
      </c>
      <c r="B15" s="10" t="s">
        <v>105</v>
      </c>
      <c r="C15" s="10" t="s">
        <v>84</v>
      </c>
      <c r="D15" s="11" t="s">
        <v>106</v>
      </c>
      <c r="E15" s="10" t="s">
        <v>107</v>
      </c>
      <c r="F15" s="10" t="s">
        <v>108</v>
      </c>
      <c r="G15" s="10" t="s">
        <v>109</v>
      </c>
      <c r="H15" s="12" t="s">
        <v>110</v>
      </c>
      <c r="I15" s="12" t="s">
        <v>24</v>
      </c>
      <c r="J15" s="13" t="n">
        <v>1500</v>
      </c>
      <c r="K15" s="12" t="s">
        <v>36</v>
      </c>
      <c r="L15" s="12" t="s">
        <v>26</v>
      </c>
      <c r="M15" s="12" t="n">
        <v>10</v>
      </c>
      <c r="N15" s="12" t="s">
        <v>27</v>
      </c>
    </row>
    <row r="16" customFormat="false" ht="19.5" hidden="false" customHeight="true" outlineLevel="0" collapsed="false">
      <c r="A16" s="4" t="s">
        <v>111</v>
      </c>
      <c r="B16" s="5" t="s">
        <v>112</v>
      </c>
      <c r="C16" s="5" t="s">
        <v>113</v>
      </c>
      <c r="D16" s="6" t="s">
        <v>114</v>
      </c>
      <c r="E16" s="5" t="s">
        <v>115</v>
      </c>
      <c r="F16" s="5" t="s">
        <v>116</v>
      </c>
      <c r="G16" s="5" t="s">
        <v>117</v>
      </c>
      <c r="H16" s="7" t="s">
        <v>118</v>
      </c>
      <c r="I16" s="7" t="s">
        <v>24</v>
      </c>
      <c r="J16" s="8" t="n">
        <v>1000</v>
      </c>
      <c r="K16" s="7" t="s">
        <v>25</v>
      </c>
      <c r="L16" s="7" t="s">
        <v>26</v>
      </c>
      <c r="M16" s="7" t="n">
        <v>7</v>
      </c>
      <c r="N16" s="7" t="s">
        <v>27</v>
      </c>
    </row>
    <row r="17" customFormat="false" ht="19.5" hidden="false" customHeight="true" outlineLevel="0" collapsed="false">
      <c r="A17" s="9" t="s">
        <v>119</v>
      </c>
      <c r="B17" s="10" t="s">
        <v>120</v>
      </c>
      <c r="C17" s="10" t="s">
        <v>113</v>
      </c>
      <c r="D17" s="11" t="s">
        <v>121</v>
      </c>
      <c r="E17" s="10" t="s">
        <v>122</v>
      </c>
      <c r="F17" s="10" t="s">
        <v>123</v>
      </c>
      <c r="G17" s="10" t="s">
        <v>124</v>
      </c>
      <c r="H17" s="12" t="s">
        <v>125</v>
      </c>
      <c r="I17" s="12" t="s">
        <v>35</v>
      </c>
      <c r="J17" s="13" t="n">
        <v>2000</v>
      </c>
      <c r="K17" s="12" t="s">
        <v>36</v>
      </c>
      <c r="L17" s="12" t="s">
        <v>26</v>
      </c>
      <c r="M17" s="12" t="n">
        <v>14</v>
      </c>
      <c r="N17" s="12" t="s">
        <v>27</v>
      </c>
    </row>
    <row r="18" customFormat="false" ht="19.5" hidden="false" customHeight="true" outlineLevel="0" collapsed="false">
      <c r="A18" s="4" t="s">
        <v>126</v>
      </c>
      <c r="B18" s="5" t="s">
        <v>127</v>
      </c>
      <c r="C18" s="5" t="s">
        <v>128</v>
      </c>
      <c r="D18" s="6" t="s">
        <v>129</v>
      </c>
      <c r="E18" s="5" t="s">
        <v>130</v>
      </c>
      <c r="F18" s="5" t="s">
        <v>131</v>
      </c>
      <c r="G18" s="5" t="s">
        <v>132</v>
      </c>
      <c r="H18" s="7" t="s">
        <v>133</v>
      </c>
      <c r="I18" s="7" t="s">
        <v>134</v>
      </c>
      <c r="J18" s="8" t="n">
        <v>2000</v>
      </c>
      <c r="K18" s="7" t="s">
        <v>36</v>
      </c>
      <c r="L18" s="7" t="s">
        <v>26</v>
      </c>
      <c r="M18" s="7" t="n">
        <v>3</v>
      </c>
      <c r="N18" s="7" t="s">
        <v>27</v>
      </c>
    </row>
    <row r="19" customFormat="false" ht="19.5" hidden="false" customHeight="true" outlineLevel="0" collapsed="false">
      <c r="A19" s="9" t="s">
        <v>135</v>
      </c>
      <c r="B19" s="10" t="s">
        <v>136</v>
      </c>
      <c r="C19" s="10" t="s">
        <v>128</v>
      </c>
      <c r="D19" s="11" t="s">
        <v>137</v>
      </c>
      <c r="E19" s="10" t="s">
        <v>138</v>
      </c>
      <c r="F19" s="10" t="s">
        <v>139</v>
      </c>
      <c r="G19" s="10" t="s">
        <v>140</v>
      </c>
      <c r="H19" s="12" t="s">
        <v>141</v>
      </c>
      <c r="I19" s="12" t="s">
        <v>134</v>
      </c>
      <c r="J19" s="13" t="n">
        <v>2000</v>
      </c>
      <c r="K19" s="12" t="s">
        <v>25</v>
      </c>
      <c r="L19" s="12" t="s">
        <v>26</v>
      </c>
      <c r="M19" s="12" t="n">
        <v>3</v>
      </c>
      <c r="N19" s="12" t="s">
        <v>27</v>
      </c>
    </row>
    <row r="20" customFormat="false" ht="19.5" hidden="false" customHeight="true" outlineLevel="0" collapsed="false">
      <c r="A20" s="4" t="s">
        <v>142</v>
      </c>
      <c r="B20" s="5" t="s">
        <v>143</v>
      </c>
      <c r="C20" s="5" t="s">
        <v>128</v>
      </c>
      <c r="D20" s="6" t="s">
        <v>144</v>
      </c>
      <c r="E20" s="5" t="s">
        <v>145</v>
      </c>
      <c r="F20" s="5" t="s">
        <v>146</v>
      </c>
      <c r="G20" s="5" t="s">
        <v>147</v>
      </c>
      <c r="H20" s="7" t="s">
        <v>148</v>
      </c>
      <c r="I20" s="7" t="s">
        <v>134</v>
      </c>
      <c r="J20" s="8" t="n">
        <v>1500</v>
      </c>
      <c r="K20" s="7" t="s">
        <v>36</v>
      </c>
      <c r="L20" s="7" t="s">
        <v>26</v>
      </c>
      <c r="M20" s="7" t="n">
        <v>3</v>
      </c>
      <c r="N20" s="7" t="s">
        <v>27</v>
      </c>
    </row>
    <row r="21" customFormat="false" ht="19.5" hidden="false" customHeight="true" outlineLevel="0" collapsed="false">
      <c r="A21" s="9" t="s">
        <v>149</v>
      </c>
      <c r="B21" s="10" t="s">
        <v>150</v>
      </c>
      <c r="C21" s="10" t="s">
        <v>151</v>
      </c>
      <c r="D21" s="11" t="s">
        <v>152</v>
      </c>
      <c r="E21" s="10" t="s">
        <v>153</v>
      </c>
      <c r="F21" s="10" t="s">
        <v>154</v>
      </c>
      <c r="G21" s="10" t="s">
        <v>155</v>
      </c>
      <c r="H21" s="12" t="s">
        <v>156</v>
      </c>
      <c r="I21" s="12" t="s">
        <v>24</v>
      </c>
      <c r="J21" s="13" t="n">
        <v>2000</v>
      </c>
      <c r="K21" s="12" t="s">
        <v>25</v>
      </c>
      <c r="L21" s="12" t="s">
        <v>26</v>
      </c>
      <c r="M21" s="12" t="n">
        <v>7</v>
      </c>
      <c r="N21" s="12" t="s">
        <v>27</v>
      </c>
    </row>
    <row r="22" customFormat="false" ht="19.5" hidden="false" customHeight="true" outlineLevel="0" collapsed="false">
      <c r="A22" s="4" t="s">
        <v>157</v>
      </c>
      <c r="B22" s="5" t="s">
        <v>158</v>
      </c>
      <c r="C22" s="5" t="s">
        <v>151</v>
      </c>
      <c r="D22" s="6" t="s">
        <v>159</v>
      </c>
      <c r="E22" s="5" t="s">
        <v>160</v>
      </c>
      <c r="F22" s="5" t="s">
        <v>161</v>
      </c>
      <c r="G22" s="5" t="s">
        <v>162</v>
      </c>
      <c r="H22" s="7" t="s">
        <v>163</v>
      </c>
      <c r="I22" s="7" t="s">
        <v>24</v>
      </c>
      <c r="J22" s="8" t="n">
        <v>3000</v>
      </c>
      <c r="K22" s="7" t="s">
        <v>25</v>
      </c>
      <c r="L22" s="7" t="s">
        <v>26</v>
      </c>
      <c r="M22" s="7" t="n">
        <v>7</v>
      </c>
      <c r="N22" s="7" t="s">
        <v>27</v>
      </c>
    </row>
    <row r="23" customFormat="false" ht="19.5" hidden="false" customHeight="true" outlineLevel="0" collapsed="false">
      <c r="A23" s="9" t="s">
        <v>164</v>
      </c>
      <c r="B23" s="10" t="s">
        <v>165</v>
      </c>
      <c r="C23" s="10" t="s">
        <v>151</v>
      </c>
      <c r="D23" s="11" t="s">
        <v>166</v>
      </c>
      <c r="E23" s="10" t="s">
        <v>167</v>
      </c>
      <c r="F23" s="10" t="s">
        <v>168</v>
      </c>
      <c r="G23" s="10" t="s">
        <v>169</v>
      </c>
      <c r="H23" s="12" t="s">
        <v>170</v>
      </c>
      <c r="I23" s="12" t="s">
        <v>24</v>
      </c>
      <c r="J23" s="13" t="n">
        <v>2500</v>
      </c>
      <c r="K23" s="12" t="s">
        <v>36</v>
      </c>
      <c r="L23" s="12" t="s">
        <v>26</v>
      </c>
      <c r="M23" s="12" t="n">
        <v>10</v>
      </c>
      <c r="N23" s="12" t="s">
        <v>27</v>
      </c>
    </row>
    <row r="24" customFormat="false" ht="19.5" hidden="false" customHeight="true" outlineLevel="0" collapsed="false">
      <c r="A24" s="4" t="s">
        <v>171</v>
      </c>
      <c r="B24" s="5" t="s">
        <v>172</v>
      </c>
      <c r="C24" s="5" t="s">
        <v>151</v>
      </c>
      <c r="D24" s="6" t="s">
        <v>173</v>
      </c>
      <c r="E24" s="5" t="s">
        <v>174</v>
      </c>
      <c r="F24" s="5" t="s">
        <v>175</v>
      </c>
      <c r="G24" s="5" t="s">
        <v>176</v>
      </c>
      <c r="H24" s="7" t="s">
        <v>177</v>
      </c>
      <c r="I24" s="7" t="s">
        <v>24</v>
      </c>
      <c r="J24" s="8" t="n">
        <v>1500</v>
      </c>
      <c r="K24" s="7" t="s">
        <v>25</v>
      </c>
      <c r="L24" s="7" t="s">
        <v>26</v>
      </c>
      <c r="M24" s="7" t="n">
        <v>7</v>
      </c>
      <c r="N24" s="7" t="s">
        <v>27</v>
      </c>
    </row>
    <row r="25" customFormat="false" ht="19.5" hidden="false" customHeight="true" outlineLevel="0" collapsed="false">
      <c r="A25" s="9" t="s">
        <v>178</v>
      </c>
      <c r="B25" s="10" t="s">
        <v>179</v>
      </c>
      <c r="C25" s="10" t="s">
        <v>151</v>
      </c>
      <c r="D25" s="11" t="s">
        <v>180</v>
      </c>
      <c r="E25" s="10" t="s">
        <v>181</v>
      </c>
      <c r="F25" s="10" t="s">
        <v>182</v>
      </c>
      <c r="G25" s="10" t="s">
        <v>183</v>
      </c>
      <c r="H25" s="12" t="s">
        <v>184</v>
      </c>
      <c r="I25" s="12" t="s">
        <v>24</v>
      </c>
      <c r="J25" s="13" t="n">
        <v>1500</v>
      </c>
      <c r="K25" s="12" t="s">
        <v>36</v>
      </c>
      <c r="L25" s="12" t="s">
        <v>26</v>
      </c>
      <c r="M25" s="12" t="n">
        <v>7</v>
      </c>
      <c r="N25" s="12" t="s">
        <v>27</v>
      </c>
    </row>
    <row r="26" customFormat="false" ht="19.5" hidden="false" customHeight="true" outlineLevel="0" collapsed="false">
      <c r="A26" s="4" t="s">
        <v>185</v>
      </c>
      <c r="B26" s="5" t="s">
        <v>186</v>
      </c>
      <c r="C26" s="5" t="s">
        <v>187</v>
      </c>
      <c r="D26" s="6" t="s">
        <v>188</v>
      </c>
      <c r="E26" s="5" t="s">
        <v>189</v>
      </c>
      <c r="F26" s="5" t="s">
        <v>190</v>
      </c>
      <c r="G26" s="5" t="s">
        <v>191</v>
      </c>
      <c r="H26" s="7" t="s">
        <v>192</v>
      </c>
      <c r="I26" s="7" t="s">
        <v>24</v>
      </c>
      <c r="J26" s="8" t="n">
        <v>500</v>
      </c>
      <c r="K26" s="7" t="s">
        <v>36</v>
      </c>
      <c r="L26" s="7" t="s">
        <v>26</v>
      </c>
      <c r="M26" s="7" t="n">
        <v>3</v>
      </c>
      <c r="N26" s="7" t="s">
        <v>27</v>
      </c>
    </row>
    <row r="27" customFormat="false" ht="19.5" hidden="false" customHeight="true" outlineLevel="0" collapsed="false">
      <c r="A27" s="9" t="s">
        <v>193</v>
      </c>
      <c r="B27" s="10" t="s">
        <v>194</v>
      </c>
      <c r="C27" s="10" t="s">
        <v>187</v>
      </c>
      <c r="D27" s="11" t="s">
        <v>195</v>
      </c>
      <c r="E27" s="10" t="s">
        <v>196</v>
      </c>
      <c r="F27" s="10" t="s">
        <v>197</v>
      </c>
      <c r="G27" s="10" t="s">
        <v>198</v>
      </c>
      <c r="H27" s="12" t="s">
        <v>199</v>
      </c>
      <c r="I27" s="12" t="s">
        <v>24</v>
      </c>
      <c r="J27" s="13" t="n">
        <v>300</v>
      </c>
      <c r="K27" s="12" t="s">
        <v>66</v>
      </c>
      <c r="L27" s="12" t="s">
        <v>26</v>
      </c>
      <c r="M27" s="12" t="n">
        <v>3</v>
      </c>
      <c r="N27" s="12" t="s">
        <v>27</v>
      </c>
    </row>
    <row r="28" customFormat="false" ht="19.5" hidden="false" customHeight="true" outlineLevel="0" collapsed="false">
      <c r="A28" s="4" t="s">
        <v>200</v>
      </c>
      <c r="B28" s="5" t="s">
        <v>201</v>
      </c>
      <c r="C28" s="5" t="s">
        <v>202</v>
      </c>
      <c r="D28" s="6" t="s">
        <v>203</v>
      </c>
      <c r="E28" s="5" t="s">
        <v>204</v>
      </c>
      <c r="F28" s="5" t="s">
        <v>205</v>
      </c>
      <c r="G28" s="5" t="s">
        <v>206</v>
      </c>
      <c r="H28" s="7" t="s">
        <v>207</v>
      </c>
      <c r="I28" s="7" t="s">
        <v>24</v>
      </c>
      <c r="J28" s="8" t="n">
        <v>500</v>
      </c>
      <c r="K28" s="7" t="s">
        <v>36</v>
      </c>
      <c r="L28" s="7" t="s">
        <v>26</v>
      </c>
      <c r="M28" s="7" t="n">
        <v>30</v>
      </c>
      <c r="N28" s="7" t="s">
        <v>27</v>
      </c>
    </row>
    <row r="29" customFormat="false" ht="19.5" hidden="false" customHeight="true" outlineLevel="0" collapsed="false">
      <c r="A29" s="9" t="s">
        <v>208</v>
      </c>
      <c r="B29" s="10" t="s">
        <v>209</v>
      </c>
      <c r="C29" s="10" t="s">
        <v>202</v>
      </c>
      <c r="D29" s="11" t="s">
        <v>210</v>
      </c>
      <c r="E29" s="10" t="s">
        <v>211</v>
      </c>
      <c r="F29" s="10" t="s">
        <v>212</v>
      </c>
      <c r="G29" s="10" t="s">
        <v>213</v>
      </c>
      <c r="H29" s="12" t="s">
        <v>214</v>
      </c>
      <c r="I29" s="12" t="s">
        <v>24</v>
      </c>
      <c r="J29" s="13" t="n">
        <v>500</v>
      </c>
      <c r="K29" s="12" t="s">
        <v>36</v>
      </c>
      <c r="L29" s="12" t="s">
        <v>26</v>
      </c>
      <c r="M29" s="12" t="n">
        <v>30</v>
      </c>
      <c r="N29" s="12" t="s">
        <v>27</v>
      </c>
    </row>
    <row r="30" customFormat="false" ht="19.5" hidden="false" customHeight="true" outlineLevel="0" collapsed="false">
      <c r="A30" s="4" t="s">
        <v>215</v>
      </c>
      <c r="B30" s="5" t="s">
        <v>216</v>
      </c>
      <c r="C30" s="5" t="s">
        <v>217</v>
      </c>
      <c r="D30" s="6" t="s">
        <v>218</v>
      </c>
      <c r="E30" s="5" t="s">
        <v>219</v>
      </c>
      <c r="F30" s="5" t="s">
        <v>220</v>
      </c>
      <c r="G30" s="5" t="s">
        <v>221</v>
      </c>
      <c r="H30" s="7" t="s">
        <v>222</v>
      </c>
      <c r="I30" s="7" t="s">
        <v>24</v>
      </c>
      <c r="J30" s="8" t="n">
        <v>1000</v>
      </c>
      <c r="K30" s="7" t="s">
        <v>36</v>
      </c>
      <c r="L30" s="7" t="s">
        <v>26</v>
      </c>
      <c r="M30" s="7" t="n">
        <v>30</v>
      </c>
      <c r="N30" s="7" t="s">
        <v>27</v>
      </c>
    </row>
    <row r="31" customFormat="false" ht="19.5" hidden="false" customHeight="true" outlineLevel="0" collapsed="false">
      <c r="A31" s="9" t="s">
        <v>223</v>
      </c>
      <c r="B31" s="10" t="s">
        <v>224</v>
      </c>
      <c r="C31" s="10" t="s">
        <v>217</v>
      </c>
      <c r="D31" s="11" t="s">
        <v>225</v>
      </c>
      <c r="E31" s="10" t="s">
        <v>226</v>
      </c>
      <c r="F31" s="10" t="s">
        <v>227</v>
      </c>
      <c r="G31" s="10" t="s">
        <v>228</v>
      </c>
      <c r="H31" s="12" t="s">
        <v>229</v>
      </c>
      <c r="I31" s="12" t="s">
        <v>24</v>
      </c>
      <c r="J31" s="13" t="n">
        <v>500</v>
      </c>
      <c r="K31" s="12" t="s">
        <v>66</v>
      </c>
      <c r="L31" s="12" t="s">
        <v>26</v>
      </c>
      <c r="M31" s="12" t="n">
        <v>30</v>
      </c>
      <c r="N31" s="12" t="s">
        <v>27</v>
      </c>
    </row>
    <row r="32" customFormat="false" ht="19.5" hidden="false" customHeight="true" outlineLevel="0" collapsed="false">
      <c r="A32" s="4" t="s">
        <v>230</v>
      </c>
      <c r="B32" s="5" t="s">
        <v>231</v>
      </c>
      <c r="C32" s="5" t="s">
        <v>18</v>
      </c>
      <c r="D32" s="6" t="s">
        <v>232</v>
      </c>
      <c r="E32" s="5" t="s">
        <v>233</v>
      </c>
      <c r="F32" s="5" t="s">
        <v>234</v>
      </c>
      <c r="G32" s="5" t="s">
        <v>235</v>
      </c>
      <c r="H32" s="7" t="s">
        <v>236</v>
      </c>
      <c r="I32" s="7" t="s">
        <v>24</v>
      </c>
      <c r="J32" s="8" t="n">
        <v>3000</v>
      </c>
      <c r="K32" s="7" t="s">
        <v>36</v>
      </c>
      <c r="L32" s="7" t="s">
        <v>26</v>
      </c>
      <c r="M32" s="7" t="n">
        <v>10</v>
      </c>
      <c r="N32" s="7" t="s">
        <v>27</v>
      </c>
    </row>
    <row r="33" customFormat="false" ht="19.5" hidden="false" customHeight="true" outlineLevel="0" collapsed="false">
      <c r="A33" s="9" t="s">
        <v>237</v>
      </c>
      <c r="B33" s="10" t="s">
        <v>238</v>
      </c>
      <c r="C33" s="10" t="s">
        <v>239</v>
      </c>
      <c r="D33" s="11" t="s">
        <v>240</v>
      </c>
      <c r="E33" s="10" t="s">
        <v>241</v>
      </c>
      <c r="F33" s="10" t="s">
        <v>242</v>
      </c>
      <c r="G33" s="10" t="s">
        <v>243</v>
      </c>
      <c r="H33" s="12" t="s">
        <v>244</v>
      </c>
      <c r="I33" s="12" t="s">
        <v>24</v>
      </c>
      <c r="J33" s="13" t="n">
        <v>800</v>
      </c>
      <c r="K33" s="12" t="s">
        <v>36</v>
      </c>
      <c r="L33" s="12" t="s">
        <v>26</v>
      </c>
      <c r="M33" s="12" t="n">
        <v>5</v>
      </c>
      <c r="N33" s="12" t="s">
        <v>27</v>
      </c>
    </row>
    <row r="34" customFormat="false" ht="19.5" hidden="false" customHeight="true" outlineLevel="0" collapsed="false">
      <c r="A34" s="4" t="s">
        <v>245</v>
      </c>
      <c r="B34" s="5" t="s">
        <v>246</v>
      </c>
      <c r="C34" s="5" t="s">
        <v>239</v>
      </c>
      <c r="D34" s="6" t="s">
        <v>247</v>
      </c>
      <c r="E34" s="5" t="s">
        <v>248</v>
      </c>
      <c r="F34" s="5" t="s">
        <v>249</v>
      </c>
      <c r="G34" s="5" t="s">
        <v>250</v>
      </c>
      <c r="H34" s="7" t="s">
        <v>251</v>
      </c>
      <c r="I34" s="7" t="s">
        <v>24</v>
      </c>
      <c r="J34" s="8" t="n">
        <v>600</v>
      </c>
      <c r="K34" s="7" t="s">
        <v>36</v>
      </c>
      <c r="L34" s="7" t="s">
        <v>26</v>
      </c>
      <c r="M34" s="7" t="n">
        <v>5</v>
      </c>
      <c r="N34" s="7" t="s">
        <v>27</v>
      </c>
    </row>
    <row r="35" customFormat="false" ht="19.5" hidden="false" customHeight="true" outlineLevel="0" collapsed="false">
      <c r="A35" s="9" t="s">
        <v>252</v>
      </c>
      <c r="B35" s="10" t="s">
        <v>253</v>
      </c>
      <c r="C35" s="10" t="s">
        <v>239</v>
      </c>
      <c r="D35" s="11" t="s">
        <v>254</v>
      </c>
      <c r="E35" s="10" t="s">
        <v>255</v>
      </c>
      <c r="F35" s="10" t="s">
        <v>256</v>
      </c>
      <c r="G35" s="10" t="s">
        <v>257</v>
      </c>
      <c r="H35" s="12" t="s">
        <v>258</v>
      </c>
      <c r="I35" s="12" t="s">
        <v>24</v>
      </c>
      <c r="J35" s="13" t="n">
        <v>1000</v>
      </c>
      <c r="K35" s="12" t="s">
        <v>36</v>
      </c>
      <c r="L35" s="12" t="s">
        <v>26</v>
      </c>
      <c r="M35" s="12" t="n">
        <v>7</v>
      </c>
      <c r="N35" s="12" t="s">
        <v>27</v>
      </c>
    </row>
    <row r="36" customFormat="false" ht="19.5" hidden="false" customHeight="true" outlineLevel="0" collapsed="false">
      <c r="A36" s="4" t="s">
        <v>259</v>
      </c>
      <c r="B36" s="5" t="s">
        <v>260</v>
      </c>
      <c r="C36" s="5" t="s">
        <v>239</v>
      </c>
      <c r="D36" s="6" t="s">
        <v>261</v>
      </c>
      <c r="E36" s="5" t="s">
        <v>262</v>
      </c>
      <c r="F36" s="5" t="s">
        <v>263</v>
      </c>
      <c r="G36" s="5" t="s">
        <v>264</v>
      </c>
      <c r="H36" s="7" t="s">
        <v>265</v>
      </c>
      <c r="I36" s="7" t="s">
        <v>35</v>
      </c>
      <c r="J36" s="8" t="n">
        <v>1200</v>
      </c>
      <c r="K36" s="7" t="s">
        <v>66</v>
      </c>
      <c r="L36" s="7" t="s">
        <v>266</v>
      </c>
      <c r="M36" s="7" t="n">
        <v>10</v>
      </c>
      <c r="N36" s="7" t="s">
        <v>27</v>
      </c>
    </row>
    <row r="37" customFormat="false" ht="19.5" hidden="false" customHeight="true" outlineLevel="0" collapsed="false">
      <c r="A37" s="9" t="s">
        <v>267</v>
      </c>
      <c r="B37" s="10" t="s">
        <v>268</v>
      </c>
      <c r="C37" s="10" t="s">
        <v>269</v>
      </c>
      <c r="D37" s="11" t="s">
        <v>270</v>
      </c>
      <c r="E37" s="10" t="s">
        <v>271</v>
      </c>
      <c r="F37" s="10" t="s">
        <v>272</v>
      </c>
      <c r="G37" s="10" t="s">
        <v>273</v>
      </c>
      <c r="H37" s="12" t="s">
        <v>274</v>
      </c>
      <c r="I37" s="12" t="s">
        <v>35</v>
      </c>
      <c r="J37" s="13" t="n">
        <v>5000</v>
      </c>
      <c r="K37" s="12" t="s">
        <v>25</v>
      </c>
      <c r="L37" s="12" t="s">
        <v>26</v>
      </c>
      <c r="M37" s="12" t="n">
        <v>21</v>
      </c>
      <c r="N37" s="12" t="s">
        <v>27</v>
      </c>
    </row>
    <row r="38" customFormat="false" ht="19.5" hidden="false" customHeight="true" outlineLevel="0" collapsed="false">
      <c r="A38" s="4" t="s">
        <v>275</v>
      </c>
      <c r="B38" s="5" t="s">
        <v>276</v>
      </c>
      <c r="C38" s="5" t="s">
        <v>269</v>
      </c>
      <c r="D38" s="6" t="s">
        <v>277</v>
      </c>
      <c r="E38" s="5" t="s">
        <v>278</v>
      </c>
      <c r="F38" s="5" t="s">
        <v>279</v>
      </c>
      <c r="G38" s="5" t="s">
        <v>280</v>
      </c>
      <c r="H38" s="7" t="s">
        <v>281</v>
      </c>
      <c r="I38" s="7" t="s">
        <v>24</v>
      </c>
      <c r="J38" s="8" t="n">
        <v>10000</v>
      </c>
      <c r="K38" s="7" t="s">
        <v>25</v>
      </c>
      <c r="L38" s="7" t="s">
        <v>26</v>
      </c>
      <c r="M38" s="7" t="n">
        <v>30</v>
      </c>
      <c r="N38" s="7" t="s">
        <v>27</v>
      </c>
    </row>
    <row r="39" customFormat="false" ht="19.5" hidden="false" customHeight="true" outlineLevel="0" collapsed="false">
      <c r="A39" s="9" t="s">
        <v>282</v>
      </c>
      <c r="B39" s="10" t="s">
        <v>283</v>
      </c>
      <c r="C39" s="10" t="s">
        <v>269</v>
      </c>
      <c r="D39" s="11" t="s">
        <v>284</v>
      </c>
      <c r="E39" s="10" t="s">
        <v>285</v>
      </c>
      <c r="F39" s="10" t="s">
        <v>286</v>
      </c>
      <c r="G39" s="10" t="s">
        <v>287</v>
      </c>
      <c r="H39" s="12" t="s">
        <v>288</v>
      </c>
      <c r="I39" s="12" t="s">
        <v>24</v>
      </c>
      <c r="J39" s="13" t="n">
        <v>8000</v>
      </c>
      <c r="K39" s="12" t="s">
        <v>36</v>
      </c>
      <c r="L39" s="12" t="s">
        <v>26</v>
      </c>
      <c r="M39" s="12" t="n">
        <v>30</v>
      </c>
      <c r="N39" s="12" t="s">
        <v>27</v>
      </c>
    </row>
    <row r="40" customFormat="false" ht="19.5" hidden="false" customHeight="true" outlineLevel="0" collapsed="false">
      <c r="A40" s="4" t="s">
        <v>289</v>
      </c>
      <c r="B40" s="5" t="s">
        <v>290</v>
      </c>
      <c r="C40" s="5" t="s">
        <v>291</v>
      </c>
      <c r="D40" s="6" t="s">
        <v>292</v>
      </c>
      <c r="E40" s="5" t="s">
        <v>293</v>
      </c>
      <c r="F40" s="5" t="s">
        <v>294</v>
      </c>
      <c r="G40" s="5" t="s">
        <v>295</v>
      </c>
      <c r="H40" s="7" t="s">
        <v>296</v>
      </c>
      <c r="I40" s="7" t="s">
        <v>35</v>
      </c>
      <c r="J40" s="8" t="n">
        <v>20000</v>
      </c>
      <c r="K40" s="7" t="s">
        <v>25</v>
      </c>
      <c r="L40" s="7" t="s">
        <v>26</v>
      </c>
      <c r="M40" s="7" t="n">
        <v>30</v>
      </c>
      <c r="N40" s="7" t="s">
        <v>297</v>
      </c>
    </row>
    <row r="41" customFormat="false" ht="19.5" hidden="false" customHeight="true" outlineLevel="0" collapsed="false">
      <c r="A41" s="9" t="s">
        <v>298</v>
      </c>
      <c r="B41" s="10" t="s">
        <v>299</v>
      </c>
      <c r="C41" s="10" t="s">
        <v>291</v>
      </c>
      <c r="D41" s="11" t="s">
        <v>300</v>
      </c>
      <c r="E41" s="10" t="s">
        <v>301</v>
      </c>
      <c r="F41" s="10" t="s">
        <v>302</v>
      </c>
      <c r="G41" s="10" t="s">
        <v>303</v>
      </c>
      <c r="H41" s="12" t="s">
        <v>304</v>
      </c>
      <c r="I41" s="12" t="s">
        <v>305</v>
      </c>
      <c r="J41" s="13" t="n">
        <v>15000</v>
      </c>
      <c r="K41" s="12" t="s">
        <v>25</v>
      </c>
      <c r="L41" s="12" t="s">
        <v>26</v>
      </c>
      <c r="M41" s="12" t="n">
        <v>45</v>
      </c>
      <c r="N41" s="12" t="s">
        <v>297</v>
      </c>
    </row>
    <row r="42" customFormat="false" ht="19.5" hidden="false" customHeight="true" outlineLevel="0" collapsed="false">
      <c r="A42" s="4" t="s">
        <v>306</v>
      </c>
      <c r="B42" s="5" t="s">
        <v>307</v>
      </c>
      <c r="C42" s="5" t="s">
        <v>308</v>
      </c>
      <c r="D42" s="6" t="s">
        <v>309</v>
      </c>
      <c r="E42" s="5" t="s">
        <v>310</v>
      </c>
      <c r="F42" s="5" t="s">
        <v>311</v>
      </c>
      <c r="G42" s="5" t="s">
        <v>312</v>
      </c>
      <c r="H42" s="7" t="s">
        <v>313</v>
      </c>
      <c r="I42" s="7" t="s">
        <v>24</v>
      </c>
      <c r="J42" s="8" t="n">
        <v>2000</v>
      </c>
      <c r="K42" s="7" t="s">
        <v>36</v>
      </c>
      <c r="L42" s="7" t="s">
        <v>26</v>
      </c>
      <c r="M42" s="7" t="n">
        <v>5</v>
      </c>
      <c r="N42" s="7" t="s">
        <v>27</v>
      </c>
    </row>
    <row r="43" customFormat="false" ht="19.5" hidden="false" customHeight="true" outlineLevel="0" collapsed="false">
      <c r="A43" s="9" t="s">
        <v>314</v>
      </c>
      <c r="B43" s="10" t="s">
        <v>315</v>
      </c>
      <c r="C43" s="10" t="s">
        <v>316</v>
      </c>
      <c r="D43" s="11" t="s">
        <v>317</v>
      </c>
      <c r="E43" s="10" t="s">
        <v>318</v>
      </c>
      <c r="F43" s="10" t="s">
        <v>319</v>
      </c>
      <c r="G43" s="10" t="s">
        <v>320</v>
      </c>
      <c r="H43" s="12" t="s">
        <v>321</v>
      </c>
      <c r="I43" s="12" t="s">
        <v>24</v>
      </c>
      <c r="J43" s="13" t="n">
        <v>800</v>
      </c>
      <c r="K43" s="12" t="s">
        <v>66</v>
      </c>
      <c r="L43" s="12" t="s">
        <v>26</v>
      </c>
      <c r="M43" s="12" t="n">
        <v>14</v>
      </c>
      <c r="N43" s="12" t="s">
        <v>27</v>
      </c>
    </row>
  </sheetData>
  <autoFilter ref="A3:N43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0AF"/>
    <pageSetUpPr fitToPage="false"/>
  </sheetPr>
  <dimension ref="A1:R1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7"/>
    <col collapsed="false" customWidth="true" hidden="false" outlineLevel="0" max="17" min="17" style="0" width="14"/>
    <col collapsed="false" customWidth="true" hidden="false" outlineLevel="0" max="18" min="18" style="0" width="30"/>
  </cols>
  <sheetData>
    <row r="1" customFormat="false" ht="45.7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323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7.75" hidden="false" customHeight="true" outlineLevel="0" collapsed="false">
      <c r="A3" s="3" t="s">
        <v>324</v>
      </c>
      <c r="B3" s="3" t="s">
        <v>2</v>
      </c>
      <c r="C3" s="3" t="s">
        <v>325</v>
      </c>
      <c r="D3" s="3" t="s">
        <v>4</v>
      </c>
      <c r="E3" s="3" t="s">
        <v>326</v>
      </c>
      <c r="F3" s="3" t="s">
        <v>327</v>
      </c>
      <c r="G3" s="3" t="s">
        <v>328</v>
      </c>
      <c r="H3" s="3" t="s">
        <v>329</v>
      </c>
      <c r="I3" s="3" t="s">
        <v>330</v>
      </c>
      <c r="J3" s="3" t="s">
        <v>331</v>
      </c>
      <c r="K3" s="3" t="s">
        <v>332</v>
      </c>
      <c r="L3" s="3" t="s">
        <v>333</v>
      </c>
      <c r="M3" s="3" t="s">
        <v>334</v>
      </c>
      <c r="N3" s="3" t="s">
        <v>335</v>
      </c>
      <c r="O3" s="3" t="s">
        <v>10</v>
      </c>
      <c r="P3" s="3" t="s">
        <v>336</v>
      </c>
      <c r="Q3" s="3" t="s">
        <v>337</v>
      </c>
      <c r="R3" s="3" t="s">
        <v>338</v>
      </c>
    </row>
    <row r="4" customFormat="false" ht="21.75" hidden="false" customHeight="true" outlineLevel="0" collapsed="false">
      <c r="A4" s="4" t="s">
        <v>339</v>
      </c>
      <c r="B4" s="7" t="s">
        <v>16</v>
      </c>
      <c r="C4" s="5" t="s">
        <v>17</v>
      </c>
      <c r="D4" s="5" t="s">
        <v>18</v>
      </c>
      <c r="E4" s="6" t="s">
        <v>340</v>
      </c>
      <c r="F4" s="14" t="n">
        <v>45299</v>
      </c>
      <c r="G4" s="14" t="n">
        <v>45306</v>
      </c>
      <c r="H4" s="7" t="n">
        <v>2000</v>
      </c>
      <c r="I4" s="15" t="n">
        <v>285</v>
      </c>
      <c r="J4" s="16" t="n">
        <v>2</v>
      </c>
      <c r="K4" s="15" t="n">
        <f aca="false">I4*H4*J4/100</f>
        <v>11400</v>
      </c>
      <c r="L4" s="15" t="n">
        <f aca="false">I4*H4-K4</f>
        <v>558600</v>
      </c>
      <c r="M4" s="15" t="n">
        <f aca="false">L4*0.12</f>
        <v>67032</v>
      </c>
      <c r="N4" s="15" t="n">
        <f aca="false">L4+M4</f>
        <v>625632</v>
      </c>
      <c r="O4" s="7" t="s">
        <v>24</v>
      </c>
      <c r="P4" s="7" t="s">
        <v>341</v>
      </c>
      <c r="Q4" s="17" t="s">
        <v>342</v>
      </c>
      <c r="R4" s="6" t="s">
        <v>343</v>
      </c>
    </row>
    <row r="5" customFormat="false" ht="21.75" hidden="false" customHeight="true" outlineLevel="0" collapsed="false">
      <c r="A5" s="9" t="s">
        <v>344</v>
      </c>
      <c r="B5" s="12" t="s">
        <v>44</v>
      </c>
      <c r="C5" s="10" t="s">
        <v>45</v>
      </c>
      <c r="D5" s="10" t="s">
        <v>46</v>
      </c>
      <c r="E5" s="11" t="s">
        <v>345</v>
      </c>
      <c r="F5" s="18" t="n">
        <v>45301</v>
      </c>
      <c r="G5" s="18" t="n">
        <v>45315</v>
      </c>
      <c r="H5" s="12" t="n">
        <v>5000</v>
      </c>
      <c r="I5" s="19" t="n">
        <v>195</v>
      </c>
      <c r="J5" s="20" t="n">
        <v>1.5</v>
      </c>
      <c r="K5" s="19" t="n">
        <f aca="false">I5*H5*J5/100</f>
        <v>14625</v>
      </c>
      <c r="L5" s="19" t="n">
        <f aca="false">I5*H5-K5</f>
        <v>960375</v>
      </c>
      <c r="M5" s="19" t="n">
        <f aca="false">L5*0.12</f>
        <v>115245</v>
      </c>
      <c r="N5" s="19" t="n">
        <f aca="false">L5+M5</f>
        <v>1075620</v>
      </c>
      <c r="O5" s="12" t="s">
        <v>24</v>
      </c>
      <c r="P5" s="12" t="s">
        <v>341</v>
      </c>
      <c r="Q5" s="17" t="s">
        <v>342</v>
      </c>
      <c r="R5" s="11" t="s">
        <v>346</v>
      </c>
    </row>
    <row r="6" customFormat="false" ht="21.75" hidden="false" customHeight="true" outlineLevel="0" collapsed="false">
      <c r="A6" s="4" t="s">
        <v>347</v>
      </c>
      <c r="B6" s="7" t="s">
        <v>44</v>
      </c>
      <c r="C6" s="5" t="s">
        <v>45</v>
      </c>
      <c r="D6" s="5" t="s">
        <v>46</v>
      </c>
      <c r="E6" s="6" t="s">
        <v>348</v>
      </c>
      <c r="F6" s="14" t="n">
        <v>45301</v>
      </c>
      <c r="G6" s="14" t="n">
        <v>45315</v>
      </c>
      <c r="H6" s="7" t="n">
        <v>3000</v>
      </c>
      <c r="I6" s="15" t="n">
        <v>280</v>
      </c>
      <c r="J6" s="16" t="n">
        <v>1.5</v>
      </c>
      <c r="K6" s="15" t="n">
        <f aca="false">I6*H6*J6/100</f>
        <v>12600</v>
      </c>
      <c r="L6" s="15" t="n">
        <f aca="false">I6*H6-K6</f>
        <v>827400</v>
      </c>
      <c r="M6" s="15" t="n">
        <f aca="false">L6*0.12</f>
        <v>99288</v>
      </c>
      <c r="N6" s="15" t="n">
        <f aca="false">L6+M6</f>
        <v>926688</v>
      </c>
      <c r="O6" s="7" t="s">
        <v>24</v>
      </c>
      <c r="P6" s="7" t="s">
        <v>341</v>
      </c>
      <c r="Q6" s="17" t="s">
        <v>342</v>
      </c>
      <c r="R6" s="6" t="s">
        <v>346</v>
      </c>
    </row>
    <row r="7" customFormat="false" ht="21.75" hidden="false" customHeight="true" outlineLevel="0" collapsed="false">
      <c r="A7" s="9" t="s">
        <v>349</v>
      </c>
      <c r="B7" s="12" t="s">
        <v>67</v>
      </c>
      <c r="C7" s="10" t="s">
        <v>68</v>
      </c>
      <c r="D7" s="10" t="s">
        <v>69</v>
      </c>
      <c r="E7" s="11" t="s">
        <v>350</v>
      </c>
      <c r="F7" s="18" t="n">
        <v>45306</v>
      </c>
      <c r="G7" s="18" t="n">
        <v>45309</v>
      </c>
      <c r="H7" s="12" t="n">
        <v>500</v>
      </c>
      <c r="I7" s="19" t="n">
        <v>1250</v>
      </c>
      <c r="J7" s="20" t="n">
        <v>0</v>
      </c>
      <c r="K7" s="19" t="n">
        <f aca="false">I7*H7*J7/100</f>
        <v>0</v>
      </c>
      <c r="L7" s="19" t="n">
        <f aca="false">I7*H7-K7</f>
        <v>625000</v>
      </c>
      <c r="M7" s="19" t="n">
        <f aca="false">L7*0.12</f>
        <v>75000</v>
      </c>
      <c r="N7" s="19" t="n">
        <f aca="false">L7+M7</f>
        <v>700000</v>
      </c>
      <c r="O7" s="12" t="s">
        <v>24</v>
      </c>
      <c r="P7" s="12" t="s">
        <v>351</v>
      </c>
      <c r="Q7" s="17" t="s">
        <v>342</v>
      </c>
      <c r="R7" s="11" t="s">
        <v>352</v>
      </c>
    </row>
    <row r="8" customFormat="false" ht="21.75" hidden="false" customHeight="true" outlineLevel="0" collapsed="false">
      <c r="A8" s="4" t="s">
        <v>353</v>
      </c>
      <c r="B8" s="7" t="s">
        <v>82</v>
      </c>
      <c r="C8" s="5" t="s">
        <v>83</v>
      </c>
      <c r="D8" s="5" t="s">
        <v>84</v>
      </c>
      <c r="E8" s="6" t="s">
        <v>354</v>
      </c>
      <c r="F8" s="14" t="n">
        <v>45309</v>
      </c>
      <c r="G8" s="14" t="n">
        <v>45323</v>
      </c>
      <c r="H8" s="7" t="n">
        <v>50</v>
      </c>
      <c r="I8" s="15" t="n">
        <v>8500</v>
      </c>
      <c r="J8" s="16" t="n">
        <v>5</v>
      </c>
      <c r="K8" s="15" t="n">
        <f aca="false">I8*H8*J8/100</f>
        <v>21250</v>
      </c>
      <c r="L8" s="15" t="n">
        <f aca="false">I8*H8-K8</f>
        <v>403750</v>
      </c>
      <c r="M8" s="15" t="n">
        <f aca="false">L8*0.12</f>
        <v>48450</v>
      </c>
      <c r="N8" s="15" t="n">
        <f aca="false">L8+M8</f>
        <v>452200</v>
      </c>
      <c r="O8" s="7" t="s">
        <v>35</v>
      </c>
      <c r="P8" s="7" t="s">
        <v>341</v>
      </c>
      <c r="Q8" s="17" t="s">
        <v>342</v>
      </c>
      <c r="R8" s="6" t="s">
        <v>355</v>
      </c>
    </row>
    <row r="9" customFormat="false" ht="21.75" hidden="false" customHeight="true" outlineLevel="0" collapsed="false">
      <c r="A9" s="9" t="s">
        <v>356</v>
      </c>
      <c r="B9" s="12" t="s">
        <v>111</v>
      </c>
      <c r="C9" s="10" t="s">
        <v>112</v>
      </c>
      <c r="D9" s="10" t="s">
        <v>113</v>
      </c>
      <c r="E9" s="11" t="s">
        <v>357</v>
      </c>
      <c r="F9" s="18" t="n">
        <v>45311</v>
      </c>
      <c r="G9" s="18" t="n">
        <v>45318</v>
      </c>
      <c r="H9" s="12" t="n">
        <v>200</v>
      </c>
      <c r="I9" s="19" t="n">
        <v>350</v>
      </c>
      <c r="J9" s="20" t="n">
        <v>0</v>
      </c>
      <c r="K9" s="19" t="n">
        <f aca="false">I9*H9*J9/100</f>
        <v>0</v>
      </c>
      <c r="L9" s="19" t="n">
        <f aca="false">I9*H9-K9</f>
        <v>70000</v>
      </c>
      <c r="M9" s="19" t="n">
        <f aca="false">L9*0.12</f>
        <v>8400</v>
      </c>
      <c r="N9" s="19" t="n">
        <f aca="false">L9+M9</f>
        <v>78400</v>
      </c>
      <c r="O9" s="12" t="s">
        <v>24</v>
      </c>
      <c r="P9" s="12" t="s">
        <v>358</v>
      </c>
      <c r="Q9" s="17" t="s">
        <v>342</v>
      </c>
      <c r="R9" s="11" t="s">
        <v>359</v>
      </c>
    </row>
    <row r="10" customFormat="false" ht="21.75" hidden="false" customHeight="true" outlineLevel="0" collapsed="false">
      <c r="A10" s="4" t="s">
        <v>360</v>
      </c>
      <c r="B10" s="7" t="s">
        <v>111</v>
      </c>
      <c r="C10" s="5" t="s">
        <v>112</v>
      </c>
      <c r="D10" s="5" t="s">
        <v>113</v>
      </c>
      <c r="E10" s="6" t="s">
        <v>361</v>
      </c>
      <c r="F10" s="14" t="n">
        <v>45311</v>
      </c>
      <c r="G10" s="14" t="n">
        <v>45318</v>
      </c>
      <c r="H10" s="7" t="n">
        <v>300</v>
      </c>
      <c r="I10" s="15" t="n">
        <v>220</v>
      </c>
      <c r="J10" s="16" t="n">
        <v>0</v>
      </c>
      <c r="K10" s="15" t="n">
        <f aca="false">I10*H10*J10/100</f>
        <v>0</v>
      </c>
      <c r="L10" s="15" t="n">
        <f aca="false">I10*H10-K10</f>
        <v>66000</v>
      </c>
      <c r="M10" s="15" t="n">
        <f aca="false">L10*0.12</f>
        <v>7920</v>
      </c>
      <c r="N10" s="15" t="n">
        <f aca="false">L10+M10</f>
        <v>73920</v>
      </c>
      <c r="O10" s="7" t="s">
        <v>24</v>
      </c>
      <c r="P10" s="7" t="s">
        <v>358</v>
      </c>
      <c r="Q10" s="17" t="s">
        <v>342</v>
      </c>
      <c r="R10" s="6" t="s">
        <v>359</v>
      </c>
    </row>
    <row r="11" customFormat="false" ht="21.75" hidden="false" customHeight="true" outlineLevel="0" collapsed="false">
      <c r="A11" s="9" t="s">
        <v>362</v>
      </c>
      <c r="B11" s="12" t="s">
        <v>126</v>
      </c>
      <c r="C11" s="10" t="s">
        <v>127</v>
      </c>
      <c r="D11" s="10" t="s">
        <v>128</v>
      </c>
      <c r="E11" s="11" t="s">
        <v>363</v>
      </c>
      <c r="F11" s="18" t="n">
        <v>45316</v>
      </c>
      <c r="G11" s="18" t="n">
        <v>45319</v>
      </c>
      <c r="H11" s="12" t="n">
        <v>10000</v>
      </c>
      <c r="I11" s="19" t="n">
        <v>69.5</v>
      </c>
      <c r="J11" s="20" t="n">
        <v>0</v>
      </c>
      <c r="K11" s="19" t="n">
        <f aca="false">I11*H11*J11/100</f>
        <v>0</v>
      </c>
      <c r="L11" s="19" t="n">
        <f aca="false">I11*H11-K11</f>
        <v>695000</v>
      </c>
      <c r="M11" s="19" t="n">
        <f aca="false">L11*0.12</f>
        <v>83400</v>
      </c>
      <c r="N11" s="19" t="n">
        <f aca="false">L11+M11</f>
        <v>778400</v>
      </c>
      <c r="O11" s="12" t="s">
        <v>134</v>
      </c>
      <c r="P11" s="12" t="s">
        <v>364</v>
      </c>
      <c r="Q11" s="17" t="s">
        <v>342</v>
      </c>
      <c r="R11" s="11" t="s">
        <v>365</v>
      </c>
    </row>
    <row r="12" customFormat="false" ht="21.75" hidden="false" customHeight="true" outlineLevel="0" collapsed="false">
      <c r="A12" s="4" t="s">
        <v>366</v>
      </c>
      <c r="B12" s="7" t="s">
        <v>16</v>
      </c>
      <c r="C12" s="5" t="s">
        <v>17</v>
      </c>
      <c r="D12" s="5" t="s">
        <v>18</v>
      </c>
      <c r="E12" s="6" t="s">
        <v>340</v>
      </c>
      <c r="F12" s="14" t="n">
        <v>45327</v>
      </c>
      <c r="G12" s="14" t="n">
        <v>45334</v>
      </c>
      <c r="H12" s="7" t="n">
        <v>3000</v>
      </c>
      <c r="I12" s="15" t="n">
        <v>285</v>
      </c>
      <c r="J12" s="16" t="n">
        <v>2</v>
      </c>
      <c r="K12" s="15" t="n">
        <f aca="false">I12*H12*J12/100</f>
        <v>17100</v>
      </c>
      <c r="L12" s="15" t="n">
        <f aca="false">I12*H12-K12</f>
        <v>837900</v>
      </c>
      <c r="M12" s="15" t="n">
        <f aca="false">L12*0.12</f>
        <v>100548</v>
      </c>
      <c r="N12" s="15" t="n">
        <f aca="false">L12+M12</f>
        <v>938448</v>
      </c>
      <c r="O12" s="7" t="s">
        <v>24</v>
      </c>
      <c r="P12" s="7" t="s">
        <v>341</v>
      </c>
      <c r="Q12" s="17" t="s">
        <v>342</v>
      </c>
      <c r="R12" s="6" t="s">
        <v>367</v>
      </c>
    </row>
    <row r="13" customFormat="false" ht="21.75" hidden="false" customHeight="true" outlineLevel="0" collapsed="false">
      <c r="A13" s="9" t="s">
        <v>368</v>
      </c>
      <c r="B13" s="12" t="s">
        <v>306</v>
      </c>
      <c r="C13" s="10" t="s">
        <v>307</v>
      </c>
      <c r="D13" s="10" t="s">
        <v>308</v>
      </c>
      <c r="E13" s="11" t="s">
        <v>369</v>
      </c>
      <c r="F13" s="18" t="n">
        <v>45329</v>
      </c>
      <c r="G13" s="18" t="n">
        <v>45336</v>
      </c>
      <c r="H13" s="12" t="n">
        <v>200</v>
      </c>
      <c r="I13" s="19" t="n">
        <v>1800</v>
      </c>
      <c r="J13" s="20" t="n">
        <v>0</v>
      </c>
      <c r="K13" s="19" t="n">
        <f aca="false">I13*H13*J13/100</f>
        <v>0</v>
      </c>
      <c r="L13" s="19" t="n">
        <f aca="false">I13*H13-K13</f>
        <v>360000</v>
      </c>
      <c r="M13" s="19" t="n">
        <f aca="false">L13*0.12</f>
        <v>43200</v>
      </c>
      <c r="N13" s="19" t="n">
        <f aca="false">L13+M13</f>
        <v>403200</v>
      </c>
      <c r="O13" s="12" t="s">
        <v>24</v>
      </c>
      <c r="P13" s="12" t="s">
        <v>351</v>
      </c>
      <c r="Q13" s="17" t="s">
        <v>342</v>
      </c>
      <c r="R13" s="11" t="s">
        <v>370</v>
      </c>
    </row>
    <row r="14" customFormat="false" ht="21.75" hidden="false" customHeight="true" outlineLevel="0" collapsed="false">
      <c r="A14" s="4" t="s">
        <v>371</v>
      </c>
      <c r="B14" s="7" t="s">
        <v>306</v>
      </c>
      <c r="C14" s="5" t="s">
        <v>307</v>
      </c>
      <c r="D14" s="5" t="s">
        <v>308</v>
      </c>
      <c r="E14" s="6" t="s">
        <v>372</v>
      </c>
      <c r="F14" s="14" t="n">
        <v>45329</v>
      </c>
      <c r="G14" s="14" t="n">
        <v>45336</v>
      </c>
      <c r="H14" s="7" t="n">
        <v>150</v>
      </c>
      <c r="I14" s="15" t="n">
        <v>2200</v>
      </c>
      <c r="J14" s="16" t="n">
        <v>0</v>
      </c>
      <c r="K14" s="15" t="n">
        <f aca="false">I14*H14*J14/100</f>
        <v>0</v>
      </c>
      <c r="L14" s="15" t="n">
        <f aca="false">I14*H14-K14</f>
        <v>330000</v>
      </c>
      <c r="M14" s="15" t="n">
        <f aca="false">L14*0.12</f>
        <v>39600</v>
      </c>
      <c r="N14" s="15" t="n">
        <f aca="false">L14+M14</f>
        <v>369600</v>
      </c>
      <c r="O14" s="7" t="s">
        <v>24</v>
      </c>
      <c r="P14" s="7" t="s">
        <v>351</v>
      </c>
      <c r="Q14" s="17" t="s">
        <v>342</v>
      </c>
      <c r="R14" s="6" t="s">
        <v>370</v>
      </c>
    </row>
    <row r="15" customFormat="false" ht="21.75" hidden="false" customHeight="true" outlineLevel="0" collapsed="false">
      <c r="A15" s="9" t="s">
        <v>373</v>
      </c>
      <c r="B15" s="12" t="s">
        <v>44</v>
      </c>
      <c r="C15" s="10" t="s">
        <v>45</v>
      </c>
      <c r="D15" s="10" t="s">
        <v>46</v>
      </c>
      <c r="E15" s="11" t="s">
        <v>374</v>
      </c>
      <c r="F15" s="18" t="n">
        <v>45334</v>
      </c>
      <c r="G15" s="18" t="n">
        <v>45348</v>
      </c>
      <c r="H15" s="12" t="n">
        <v>2000</v>
      </c>
      <c r="I15" s="19" t="n">
        <v>480</v>
      </c>
      <c r="J15" s="20" t="n">
        <v>1.5</v>
      </c>
      <c r="K15" s="19" t="n">
        <f aca="false">I15*H15*J15/100</f>
        <v>14400</v>
      </c>
      <c r="L15" s="19" t="n">
        <f aca="false">I15*H15-K15</f>
        <v>945600</v>
      </c>
      <c r="M15" s="19" t="n">
        <f aca="false">L15*0.12</f>
        <v>113472</v>
      </c>
      <c r="N15" s="19" t="n">
        <f aca="false">L15+M15</f>
        <v>1059072</v>
      </c>
      <c r="O15" s="12" t="s">
        <v>24</v>
      </c>
      <c r="P15" s="12" t="s">
        <v>341</v>
      </c>
      <c r="Q15" s="17" t="s">
        <v>342</v>
      </c>
      <c r="R15" s="11" t="s">
        <v>375</v>
      </c>
    </row>
    <row r="16" customFormat="false" ht="21.75" hidden="false" customHeight="true" outlineLevel="0" collapsed="false">
      <c r="A16" s="4" t="s">
        <v>376</v>
      </c>
      <c r="B16" s="7" t="s">
        <v>149</v>
      </c>
      <c r="C16" s="5" t="s">
        <v>150</v>
      </c>
      <c r="D16" s="5" t="s">
        <v>151</v>
      </c>
      <c r="E16" s="6" t="s">
        <v>377</v>
      </c>
      <c r="F16" s="14" t="n">
        <v>45337</v>
      </c>
      <c r="G16" s="14" t="n">
        <v>45344</v>
      </c>
      <c r="H16" s="7" t="n">
        <v>10</v>
      </c>
      <c r="I16" s="15" t="n">
        <v>18500</v>
      </c>
      <c r="J16" s="16" t="n">
        <v>5</v>
      </c>
      <c r="K16" s="15" t="n">
        <f aca="false">I16*H16*J16/100</f>
        <v>9250</v>
      </c>
      <c r="L16" s="15" t="n">
        <f aca="false">I16*H16-K16</f>
        <v>175750</v>
      </c>
      <c r="M16" s="15" t="n">
        <f aca="false">L16*0.12</f>
        <v>21090</v>
      </c>
      <c r="N16" s="15" t="n">
        <f aca="false">L16+M16</f>
        <v>196840</v>
      </c>
      <c r="O16" s="7" t="s">
        <v>24</v>
      </c>
      <c r="P16" s="7" t="s">
        <v>378</v>
      </c>
      <c r="Q16" s="17" t="s">
        <v>342</v>
      </c>
      <c r="R16" s="6" t="s">
        <v>379</v>
      </c>
    </row>
    <row r="17" customFormat="false" ht="21.75" hidden="false" customHeight="true" outlineLevel="0" collapsed="false">
      <c r="A17" s="9" t="s">
        <v>380</v>
      </c>
      <c r="B17" s="12" t="s">
        <v>185</v>
      </c>
      <c r="C17" s="10" t="s">
        <v>186</v>
      </c>
      <c r="D17" s="10" t="s">
        <v>187</v>
      </c>
      <c r="E17" s="11" t="s">
        <v>381</v>
      </c>
      <c r="F17" s="18" t="n">
        <v>45340</v>
      </c>
      <c r="G17" s="18" t="n">
        <v>45343</v>
      </c>
      <c r="H17" s="12" t="n">
        <v>200</v>
      </c>
      <c r="I17" s="19" t="n">
        <v>265</v>
      </c>
      <c r="J17" s="20" t="n">
        <v>0</v>
      </c>
      <c r="K17" s="19" t="n">
        <f aca="false">I17*H17*J17/100</f>
        <v>0</v>
      </c>
      <c r="L17" s="19" t="n">
        <f aca="false">I17*H17-K17</f>
        <v>53000</v>
      </c>
      <c r="M17" s="19" t="n">
        <f aca="false">L17*0.12</f>
        <v>6360</v>
      </c>
      <c r="N17" s="19" t="n">
        <f aca="false">L17+M17</f>
        <v>59360</v>
      </c>
      <c r="O17" s="12" t="s">
        <v>24</v>
      </c>
      <c r="P17" s="12" t="s">
        <v>382</v>
      </c>
      <c r="Q17" s="17" t="s">
        <v>342</v>
      </c>
      <c r="R17" s="11" t="s">
        <v>383</v>
      </c>
    </row>
    <row r="18" customFormat="false" ht="21.75" hidden="false" customHeight="true" outlineLevel="0" collapsed="false">
      <c r="A18" s="4" t="s">
        <v>384</v>
      </c>
      <c r="B18" s="7" t="s">
        <v>185</v>
      </c>
      <c r="C18" s="5" t="s">
        <v>186</v>
      </c>
      <c r="D18" s="5" t="s">
        <v>187</v>
      </c>
      <c r="E18" s="6" t="s">
        <v>385</v>
      </c>
      <c r="F18" s="14" t="n">
        <v>45340</v>
      </c>
      <c r="G18" s="14" t="n">
        <v>45343</v>
      </c>
      <c r="H18" s="7" t="n">
        <v>50</v>
      </c>
      <c r="I18" s="15" t="n">
        <v>280</v>
      </c>
      <c r="J18" s="16" t="n">
        <v>0</v>
      </c>
      <c r="K18" s="15" t="n">
        <f aca="false">I18*H18*J18/100</f>
        <v>0</v>
      </c>
      <c r="L18" s="15" t="n">
        <f aca="false">I18*H18-K18</f>
        <v>14000</v>
      </c>
      <c r="M18" s="15" t="n">
        <f aca="false">L18*0.12</f>
        <v>1680</v>
      </c>
      <c r="N18" s="15" t="n">
        <f aca="false">L18+M18</f>
        <v>15680</v>
      </c>
      <c r="O18" s="7" t="s">
        <v>24</v>
      </c>
      <c r="P18" s="7" t="s">
        <v>382</v>
      </c>
      <c r="Q18" s="17" t="s">
        <v>342</v>
      </c>
      <c r="R18" s="6" t="s">
        <v>383</v>
      </c>
    </row>
    <row r="19" customFormat="false" ht="21.75" hidden="false" customHeight="true" outlineLevel="0" collapsed="false">
      <c r="A19" s="9" t="s">
        <v>386</v>
      </c>
      <c r="B19" s="12" t="s">
        <v>135</v>
      </c>
      <c r="C19" s="10" t="s">
        <v>136</v>
      </c>
      <c r="D19" s="10" t="s">
        <v>128</v>
      </c>
      <c r="E19" s="11" t="s">
        <v>387</v>
      </c>
      <c r="F19" s="18" t="n">
        <v>45342</v>
      </c>
      <c r="G19" s="18" t="n">
        <v>45345</v>
      </c>
      <c r="H19" s="12" t="n">
        <v>3000</v>
      </c>
      <c r="I19" s="19" t="n">
        <v>72.8</v>
      </c>
      <c r="J19" s="20" t="n">
        <v>0</v>
      </c>
      <c r="K19" s="19" t="n">
        <f aca="false">I19*H19*J19/100</f>
        <v>0</v>
      </c>
      <c r="L19" s="19" t="n">
        <f aca="false">I19*H19-K19</f>
        <v>218400</v>
      </c>
      <c r="M19" s="19" t="n">
        <f aca="false">L19*0.12</f>
        <v>26208</v>
      </c>
      <c r="N19" s="19" t="n">
        <f aca="false">L19+M19</f>
        <v>244608</v>
      </c>
      <c r="O19" s="12" t="s">
        <v>134</v>
      </c>
      <c r="P19" s="12" t="s">
        <v>364</v>
      </c>
      <c r="Q19" s="17" t="s">
        <v>342</v>
      </c>
      <c r="R19" s="11" t="s">
        <v>388</v>
      </c>
    </row>
    <row r="20" customFormat="false" ht="21.75" hidden="false" customHeight="true" outlineLevel="0" collapsed="false">
      <c r="A20" s="4" t="s">
        <v>389</v>
      </c>
      <c r="B20" s="7" t="s">
        <v>82</v>
      </c>
      <c r="C20" s="5" t="s">
        <v>83</v>
      </c>
      <c r="D20" s="5" t="s">
        <v>84</v>
      </c>
      <c r="E20" s="6" t="s">
        <v>390</v>
      </c>
      <c r="F20" s="14" t="n">
        <v>45352</v>
      </c>
      <c r="G20" s="14" t="n">
        <v>45366</v>
      </c>
      <c r="H20" s="7" t="n">
        <v>20</v>
      </c>
      <c r="I20" s="15" t="n">
        <v>22000</v>
      </c>
      <c r="J20" s="16" t="n">
        <v>5</v>
      </c>
      <c r="K20" s="15" t="n">
        <f aca="false">I20*H20*J20/100</f>
        <v>22000</v>
      </c>
      <c r="L20" s="15" t="n">
        <f aca="false">I20*H20-K20</f>
        <v>418000</v>
      </c>
      <c r="M20" s="15" t="n">
        <f aca="false">L20*0.12</f>
        <v>50160</v>
      </c>
      <c r="N20" s="15" t="n">
        <f aca="false">L20+M20</f>
        <v>468160</v>
      </c>
      <c r="O20" s="7" t="s">
        <v>35</v>
      </c>
      <c r="P20" s="7" t="s">
        <v>341</v>
      </c>
      <c r="Q20" s="17" t="s">
        <v>342</v>
      </c>
      <c r="R20" s="6" t="s">
        <v>391</v>
      </c>
    </row>
    <row r="21" customFormat="false" ht="21.75" hidden="false" customHeight="true" outlineLevel="0" collapsed="false">
      <c r="A21" s="9" t="s">
        <v>392</v>
      </c>
      <c r="B21" s="12" t="s">
        <v>90</v>
      </c>
      <c r="C21" s="10" t="s">
        <v>91</v>
      </c>
      <c r="D21" s="10" t="s">
        <v>84</v>
      </c>
      <c r="E21" s="11" t="s">
        <v>393</v>
      </c>
      <c r="F21" s="18" t="n">
        <v>45355</v>
      </c>
      <c r="G21" s="18" t="n">
        <v>45376</v>
      </c>
      <c r="H21" s="12" t="n">
        <v>5</v>
      </c>
      <c r="I21" s="19" t="n">
        <v>85000</v>
      </c>
      <c r="J21" s="20" t="n">
        <v>3</v>
      </c>
      <c r="K21" s="19" t="n">
        <f aca="false">I21*H21*J21/100</f>
        <v>12750</v>
      </c>
      <c r="L21" s="19" t="n">
        <f aca="false">I21*H21-K21</f>
        <v>412250</v>
      </c>
      <c r="M21" s="19" t="n">
        <f aca="false">L21*0.12</f>
        <v>49470</v>
      </c>
      <c r="N21" s="19" t="n">
        <f aca="false">L21+M21</f>
        <v>461720</v>
      </c>
      <c r="O21" s="12" t="s">
        <v>35</v>
      </c>
      <c r="P21" s="12" t="s">
        <v>341</v>
      </c>
      <c r="Q21" s="17" t="s">
        <v>342</v>
      </c>
      <c r="R21" s="11" t="s">
        <v>394</v>
      </c>
    </row>
    <row r="22" customFormat="false" ht="21.75" hidden="false" customHeight="true" outlineLevel="0" collapsed="false">
      <c r="A22" s="4" t="s">
        <v>395</v>
      </c>
      <c r="B22" s="7" t="s">
        <v>237</v>
      </c>
      <c r="C22" s="5" t="s">
        <v>238</v>
      </c>
      <c r="D22" s="5" t="s">
        <v>239</v>
      </c>
      <c r="E22" s="6" t="s">
        <v>396</v>
      </c>
      <c r="F22" s="14" t="n">
        <v>45358</v>
      </c>
      <c r="G22" s="14" t="n">
        <v>45363</v>
      </c>
      <c r="H22" s="7" t="n">
        <v>300</v>
      </c>
      <c r="I22" s="15" t="n">
        <v>580</v>
      </c>
      <c r="J22" s="16" t="n">
        <v>0</v>
      </c>
      <c r="K22" s="15" t="n">
        <f aca="false">I22*H22*J22/100</f>
        <v>0</v>
      </c>
      <c r="L22" s="15" t="n">
        <f aca="false">I22*H22-K22</f>
        <v>174000</v>
      </c>
      <c r="M22" s="15" t="n">
        <f aca="false">L22*0.12</f>
        <v>20880</v>
      </c>
      <c r="N22" s="15" t="n">
        <f aca="false">L22+M22</f>
        <v>194880</v>
      </c>
      <c r="O22" s="7" t="s">
        <v>24</v>
      </c>
      <c r="P22" s="7" t="s">
        <v>351</v>
      </c>
      <c r="Q22" s="17" t="s">
        <v>342</v>
      </c>
      <c r="R22" s="6" t="s">
        <v>397</v>
      </c>
    </row>
    <row r="23" customFormat="false" ht="21.75" hidden="false" customHeight="true" outlineLevel="0" collapsed="false">
      <c r="A23" s="9" t="s">
        <v>398</v>
      </c>
      <c r="B23" s="12" t="s">
        <v>252</v>
      </c>
      <c r="C23" s="10" t="s">
        <v>253</v>
      </c>
      <c r="D23" s="10" t="s">
        <v>239</v>
      </c>
      <c r="E23" s="11" t="s">
        <v>399</v>
      </c>
      <c r="F23" s="18" t="n">
        <v>45361</v>
      </c>
      <c r="G23" s="18" t="n">
        <v>45368</v>
      </c>
      <c r="H23" s="12" t="n">
        <v>500</v>
      </c>
      <c r="I23" s="19" t="n">
        <v>425</v>
      </c>
      <c r="J23" s="20" t="n">
        <v>0</v>
      </c>
      <c r="K23" s="19" t="n">
        <f aca="false">I23*H23*J23/100</f>
        <v>0</v>
      </c>
      <c r="L23" s="19" t="n">
        <f aca="false">I23*H23-K23</f>
        <v>212500</v>
      </c>
      <c r="M23" s="19" t="n">
        <f aca="false">L23*0.12</f>
        <v>25500</v>
      </c>
      <c r="N23" s="19" t="n">
        <f aca="false">L23+M23</f>
        <v>238000</v>
      </c>
      <c r="O23" s="12" t="s">
        <v>24</v>
      </c>
      <c r="P23" s="12" t="s">
        <v>351</v>
      </c>
      <c r="Q23" s="17" t="s">
        <v>342</v>
      </c>
      <c r="R23" s="11" t="s">
        <v>400</v>
      </c>
    </row>
    <row r="24" customFormat="false" ht="21.75" hidden="false" customHeight="true" outlineLevel="0" collapsed="false">
      <c r="A24" s="4" t="s">
        <v>401</v>
      </c>
      <c r="B24" s="7" t="s">
        <v>252</v>
      </c>
      <c r="C24" s="5" t="s">
        <v>253</v>
      </c>
      <c r="D24" s="5" t="s">
        <v>239</v>
      </c>
      <c r="E24" s="6" t="s">
        <v>402</v>
      </c>
      <c r="F24" s="14" t="n">
        <v>45361</v>
      </c>
      <c r="G24" s="14" t="n">
        <v>45368</v>
      </c>
      <c r="H24" s="7" t="n">
        <v>300</v>
      </c>
      <c r="I24" s="15" t="n">
        <v>85</v>
      </c>
      <c r="J24" s="16" t="n">
        <v>0</v>
      </c>
      <c r="K24" s="15" t="n">
        <f aca="false">I24*H24*J24/100</f>
        <v>0</v>
      </c>
      <c r="L24" s="15" t="n">
        <f aca="false">I24*H24-K24</f>
        <v>25500</v>
      </c>
      <c r="M24" s="15" t="n">
        <f aca="false">L24*0.12</f>
        <v>3060</v>
      </c>
      <c r="N24" s="15" t="n">
        <f aca="false">L24+M24</f>
        <v>28560</v>
      </c>
      <c r="O24" s="7" t="s">
        <v>24</v>
      </c>
      <c r="P24" s="7" t="s">
        <v>351</v>
      </c>
      <c r="Q24" s="17" t="s">
        <v>342</v>
      </c>
      <c r="R24" s="6" t="s">
        <v>400</v>
      </c>
    </row>
    <row r="25" customFormat="false" ht="21.75" hidden="false" customHeight="true" outlineLevel="0" collapsed="false">
      <c r="A25" s="9" t="s">
        <v>403</v>
      </c>
      <c r="B25" s="12" t="s">
        <v>289</v>
      </c>
      <c r="C25" s="10" t="s">
        <v>290</v>
      </c>
      <c r="D25" s="10" t="s">
        <v>291</v>
      </c>
      <c r="E25" s="11" t="s">
        <v>404</v>
      </c>
      <c r="F25" s="18" t="n">
        <v>45366</v>
      </c>
      <c r="G25" s="18" t="n">
        <v>45397</v>
      </c>
      <c r="H25" s="12" t="n">
        <v>1</v>
      </c>
      <c r="I25" s="19" t="n">
        <v>8500000</v>
      </c>
      <c r="J25" s="20" t="n">
        <v>0</v>
      </c>
      <c r="K25" s="19" t="n">
        <f aca="false">I25*H25*J25/100</f>
        <v>0</v>
      </c>
      <c r="L25" s="19" t="n">
        <f aca="false">I25*H25-K25</f>
        <v>8500000</v>
      </c>
      <c r="M25" s="19" t="n">
        <f aca="false">L25*0.12</f>
        <v>1020000</v>
      </c>
      <c r="N25" s="19" t="n">
        <f aca="false">L25+M25</f>
        <v>9520000</v>
      </c>
      <c r="O25" s="12" t="s">
        <v>35</v>
      </c>
      <c r="P25" s="12" t="s">
        <v>405</v>
      </c>
      <c r="Q25" s="17" t="s">
        <v>342</v>
      </c>
      <c r="R25" s="11" t="s">
        <v>406</v>
      </c>
    </row>
    <row r="26" customFormat="false" ht="21.75" hidden="false" customHeight="true" outlineLevel="0" collapsed="false">
      <c r="A26" s="4" t="s">
        <v>407</v>
      </c>
      <c r="B26" s="7" t="s">
        <v>126</v>
      </c>
      <c r="C26" s="5" t="s">
        <v>127</v>
      </c>
      <c r="D26" s="5" t="s">
        <v>128</v>
      </c>
      <c r="E26" s="6" t="s">
        <v>363</v>
      </c>
      <c r="F26" s="14" t="n">
        <v>45376</v>
      </c>
      <c r="G26" s="14" t="n">
        <v>45379</v>
      </c>
      <c r="H26" s="7" t="n">
        <v>12000</v>
      </c>
      <c r="I26" s="15" t="n">
        <v>70.2</v>
      </c>
      <c r="J26" s="16" t="n">
        <v>0</v>
      </c>
      <c r="K26" s="15" t="n">
        <f aca="false">I26*H26*J26/100</f>
        <v>0</v>
      </c>
      <c r="L26" s="15" t="n">
        <f aca="false">I26*H26-K26</f>
        <v>842400</v>
      </c>
      <c r="M26" s="15" t="n">
        <f aca="false">L26*0.12</f>
        <v>101088</v>
      </c>
      <c r="N26" s="15" t="n">
        <f aca="false">L26+M26</f>
        <v>943488</v>
      </c>
      <c r="O26" s="7" t="s">
        <v>134</v>
      </c>
      <c r="P26" s="7" t="s">
        <v>364</v>
      </c>
      <c r="Q26" s="17" t="s">
        <v>342</v>
      </c>
      <c r="R26" s="6" t="s">
        <v>408</v>
      </c>
    </row>
    <row r="27" customFormat="false" ht="21.75" hidden="false" customHeight="true" outlineLevel="0" collapsed="false">
      <c r="A27" s="9" t="s">
        <v>409</v>
      </c>
      <c r="B27" s="12" t="s">
        <v>37</v>
      </c>
      <c r="C27" s="10" t="s">
        <v>38</v>
      </c>
      <c r="D27" s="10" t="s">
        <v>18</v>
      </c>
      <c r="E27" s="11" t="s">
        <v>410</v>
      </c>
      <c r="F27" s="18" t="n">
        <v>45384</v>
      </c>
      <c r="G27" s="18" t="n">
        <v>45391</v>
      </c>
      <c r="H27" s="12" t="n">
        <v>2500</v>
      </c>
      <c r="I27" s="19" t="n">
        <v>290</v>
      </c>
      <c r="J27" s="20" t="n">
        <v>2</v>
      </c>
      <c r="K27" s="19" t="n">
        <f aca="false">I27*H27*J27/100</f>
        <v>14500</v>
      </c>
      <c r="L27" s="19" t="n">
        <f aca="false">I27*H27-K27</f>
        <v>710500</v>
      </c>
      <c r="M27" s="19" t="n">
        <f aca="false">L27*0.12</f>
        <v>85260</v>
      </c>
      <c r="N27" s="19" t="n">
        <f aca="false">L27+M27</f>
        <v>795760</v>
      </c>
      <c r="O27" s="12" t="s">
        <v>24</v>
      </c>
      <c r="P27" s="12" t="s">
        <v>341</v>
      </c>
      <c r="Q27" s="17" t="s">
        <v>342</v>
      </c>
      <c r="R27" s="11" t="s">
        <v>411</v>
      </c>
    </row>
    <row r="28" customFormat="false" ht="21.75" hidden="false" customHeight="true" outlineLevel="0" collapsed="false">
      <c r="A28" s="4" t="s">
        <v>412</v>
      </c>
      <c r="B28" s="7" t="s">
        <v>52</v>
      </c>
      <c r="C28" s="5" t="s">
        <v>53</v>
      </c>
      <c r="D28" s="5" t="s">
        <v>46</v>
      </c>
      <c r="E28" s="6" t="s">
        <v>413</v>
      </c>
      <c r="F28" s="14" t="n">
        <v>45387</v>
      </c>
      <c r="G28" s="14" t="n">
        <v>45401</v>
      </c>
      <c r="H28" s="7" t="n">
        <v>1000</v>
      </c>
      <c r="I28" s="15" t="n">
        <v>380</v>
      </c>
      <c r="J28" s="16" t="n">
        <v>1</v>
      </c>
      <c r="K28" s="15" t="n">
        <f aca="false">I28*H28*J28/100</f>
        <v>3800</v>
      </c>
      <c r="L28" s="15" t="n">
        <f aca="false">I28*H28-K28</f>
        <v>376200</v>
      </c>
      <c r="M28" s="15" t="n">
        <f aca="false">L28*0.12</f>
        <v>45144</v>
      </c>
      <c r="N28" s="15" t="n">
        <f aca="false">L28+M28</f>
        <v>421344</v>
      </c>
      <c r="O28" s="7" t="s">
        <v>35</v>
      </c>
      <c r="P28" s="7" t="s">
        <v>341</v>
      </c>
      <c r="Q28" s="17" t="s">
        <v>342</v>
      </c>
      <c r="R28" s="6" t="s">
        <v>414</v>
      </c>
    </row>
    <row r="29" customFormat="false" ht="21.75" hidden="false" customHeight="true" outlineLevel="0" collapsed="false">
      <c r="A29" s="9" t="s">
        <v>415</v>
      </c>
      <c r="B29" s="12" t="s">
        <v>59</v>
      </c>
      <c r="C29" s="10" t="s">
        <v>60</v>
      </c>
      <c r="D29" s="10" t="s">
        <v>46</v>
      </c>
      <c r="E29" s="11" t="s">
        <v>416</v>
      </c>
      <c r="F29" s="18" t="n">
        <v>45390</v>
      </c>
      <c r="G29" s="18" t="n">
        <v>45400</v>
      </c>
      <c r="H29" s="12" t="n">
        <v>800</v>
      </c>
      <c r="I29" s="19" t="n">
        <v>520</v>
      </c>
      <c r="J29" s="20" t="n">
        <v>0</v>
      </c>
      <c r="K29" s="19" t="n">
        <f aca="false">I29*H29*J29/100</f>
        <v>0</v>
      </c>
      <c r="L29" s="19" t="n">
        <f aca="false">I29*H29-K29</f>
        <v>416000</v>
      </c>
      <c r="M29" s="19" t="n">
        <f aca="false">L29*0.12</f>
        <v>49920</v>
      </c>
      <c r="N29" s="19" t="n">
        <f aca="false">L29+M29</f>
        <v>465920</v>
      </c>
      <c r="O29" s="12" t="s">
        <v>24</v>
      </c>
      <c r="P29" s="12" t="s">
        <v>351</v>
      </c>
      <c r="Q29" s="17" t="s">
        <v>342</v>
      </c>
      <c r="R29" s="11" t="s">
        <v>417</v>
      </c>
    </row>
    <row r="30" customFormat="false" ht="21.75" hidden="false" customHeight="true" outlineLevel="0" collapsed="false">
      <c r="A30" s="4" t="s">
        <v>418</v>
      </c>
      <c r="B30" s="7" t="s">
        <v>104</v>
      </c>
      <c r="C30" s="5" t="s">
        <v>105</v>
      </c>
      <c r="D30" s="5" t="s">
        <v>84</v>
      </c>
      <c r="E30" s="6" t="s">
        <v>419</v>
      </c>
      <c r="F30" s="14" t="n">
        <v>45392</v>
      </c>
      <c r="G30" s="14" t="n">
        <v>45402</v>
      </c>
      <c r="H30" s="7" t="n">
        <v>500</v>
      </c>
      <c r="I30" s="15" t="n">
        <v>280</v>
      </c>
      <c r="J30" s="16" t="n">
        <v>5</v>
      </c>
      <c r="K30" s="15" t="n">
        <f aca="false">I30*H30*J30/100</f>
        <v>7000</v>
      </c>
      <c r="L30" s="15" t="n">
        <f aca="false">I30*H30-K30</f>
        <v>133000</v>
      </c>
      <c r="M30" s="15" t="n">
        <f aca="false">L30*0.12</f>
        <v>15960</v>
      </c>
      <c r="N30" s="15" t="n">
        <f aca="false">L30+M30</f>
        <v>148960</v>
      </c>
      <c r="O30" s="7" t="s">
        <v>24</v>
      </c>
      <c r="P30" s="7" t="s">
        <v>341</v>
      </c>
      <c r="Q30" s="17" t="s">
        <v>342</v>
      </c>
      <c r="R30" s="6" t="s">
        <v>420</v>
      </c>
    </row>
    <row r="31" customFormat="false" ht="21.75" hidden="false" customHeight="true" outlineLevel="0" collapsed="false">
      <c r="A31" s="9" t="s">
        <v>421</v>
      </c>
      <c r="B31" s="12" t="s">
        <v>104</v>
      </c>
      <c r="C31" s="10" t="s">
        <v>105</v>
      </c>
      <c r="D31" s="10" t="s">
        <v>84</v>
      </c>
      <c r="E31" s="11" t="s">
        <v>422</v>
      </c>
      <c r="F31" s="18" t="n">
        <v>45392</v>
      </c>
      <c r="G31" s="18" t="n">
        <v>45402</v>
      </c>
      <c r="H31" s="12" t="n">
        <v>800</v>
      </c>
      <c r="I31" s="19" t="n">
        <v>320</v>
      </c>
      <c r="J31" s="20" t="n">
        <v>5</v>
      </c>
      <c r="K31" s="19" t="n">
        <f aca="false">I31*H31*J31/100</f>
        <v>12800</v>
      </c>
      <c r="L31" s="19" t="n">
        <f aca="false">I31*H31-K31</f>
        <v>243200</v>
      </c>
      <c r="M31" s="19" t="n">
        <f aca="false">L31*0.12</f>
        <v>29184</v>
      </c>
      <c r="N31" s="19" t="n">
        <f aca="false">L31+M31</f>
        <v>272384</v>
      </c>
      <c r="O31" s="12" t="s">
        <v>24</v>
      </c>
      <c r="P31" s="12" t="s">
        <v>341</v>
      </c>
      <c r="Q31" s="17" t="s">
        <v>342</v>
      </c>
      <c r="R31" s="11" t="s">
        <v>420</v>
      </c>
    </row>
    <row r="32" customFormat="false" ht="21.75" hidden="false" customHeight="true" outlineLevel="0" collapsed="false">
      <c r="A32" s="4" t="s">
        <v>423</v>
      </c>
      <c r="B32" s="7" t="s">
        <v>119</v>
      </c>
      <c r="C32" s="5" t="s">
        <v>120</v>
      </c>
      <c r="D32" s="5" t="s">
        <v>113</v>
      </c>
      <c r="E32" s="6" t="s">
        <v>424</v>
      </c>
      <c r="F32" s="14" t="n">
        <v>45397</v>
      </c>
      <c r="G32" s="14" t="n">
        <v>45404</v>
      </c>
      <c r="H32" s="7" t="n">
        <v>20</v>
      </c>
      <c r="I32" s="15" t="n">
        <v>18500</v>
      </c>
      <c r="J32" s="16" t="n">
        <v>0</v>
      </c>
      <c r="K32" s="15" t="n">
        <f aca="false">I32*H32*J32/100</f>
        <v>0</v>
      </c>
      <c r="L32" s="15" t="n">
        <f aca="false">I32*H32-K32</f>
        <v>370000</v>
      </c>
      <c r="M32" s="15" t="n">
        <f aca="false">L32*0.12</f>
        <v>44400</v>
      </c>
      <c r="N32" s="15" t="n">
        <f aca="false">L32+M32</f>
        <v>414400</v>
      </c>
      <c r="O32" s="7" t="s">
        <v>35</v>
      </c>
      <c r="P32" s="7" t="s">
        <v>358</v>
      </c>
      <c r="Q32" s="17" t="s">
        <v>342</v>
      </c>
      <c r="R32" s="6" t="s">
        <v>425</v>
      </c>
    </row>
    <row r="33" customFormat="false" ht="21.75" hidden="false" customHeight="true" outlineLevel="0" collapsed="false">
      <c r="A33" s="9" t="s">
        <v>426</v>
      </c>
      <c r="B33" s="12" t="s">
        <v>185</v>
      </c>
      <c r="C33" s="10" t="s">
        <v>186</v>
      </c>
      <c r="D33" s="10" t="s">
        <v>187</v>
      </c>
      <c r="E33" s="11" t="s">
        <v>427</v>
      </c>
      <c r="F33" s="18" t="n">
        <v>45400</v>
      </c>
      <c r="G33" s="18" t="n">
        <v>45403</v>
      </c>
      <c r="H33" s="12" t="n">
        <v>30</v>
      </c>
      <c r="I33" s="19" t="n">
        <v>890</v>
      </c>
      <c r="J33" s="20" t="n">
        <v>0</v>
      </c>
      <c r="K33" s="19" t="n">
        <f aca="false">I33*H33*J33/100</f>
        <v>0</v>
      </c>
      <c r="L33" s="19" t="n">
        <f aca="false">I33*H33-K33</f>
        <v>26700</v>
      </c>
      <c r="M33" s="19" t="n">
        <f aca="false">L33*0.12</f>
        <v>3204</v>
      </c>
      <c r="N33" s="19" t="n">
        <f aca="false">L33+M33</f>
        <v>29904</v>
      </c>
      <c r="O33" s="12" t="s">
        <v>24</v>
      </c>
      <c r="P33" s="12" t="s">
        <v>382</v>
      </c>
      <c r="Q33" s="17" t="s">
        <v>342</v>
      </c>
      <c r="R33" s="11" t="s">
        <v>428</v>
      </c>
    </row>
    <row r="34" customFormat="false" ht="21.75" hidden="false" customHeight="true" outlineLevel="0" collapsed="false">
      <c r="A34" s="4" t="s">
        <v>429</v>
      </c>
      <c r="B34" s="7" t="s">
        <v>157</v>
      </c>
      <c r="C34" s="5" t="s">
        <v>158</v>
      </c>
      <c r="D34" s="5" t="s">
        <v>151</v>
      </c>
      <c r="E34" s="6" t="s">
        <v>430</v>
      </c>
      <c r="F34" s="14" t="n">
        <v>45414</v>
      </c>
      <c r="G34" s="14" t="n">
        <v>45421</v>
      </c>
      <c r="H34" s="7" t="n">
        <v>15</v>
      </c>
      <c r="I34" s="15" t="n">
        <v>42000</v>
      </c>
      <c r="J34" s="16" t="n">
        <v>5</v>
      </c>
      <c r="K34" s="15" t="n">
        <f aca="false">I34*H34*J34/100</f>
        <v>31500</v>
      </c>
      <c r="L34" s="15" t="n">
        <f aca="false">I34*H34-K34</f>
        <v>598500</v>
      </c>
      <c r="M34" s="15" t="n">
        <f aca="false">L34*0.12</f>
        <v>71820</v>
      </c>
      <c r="N34" s="15" t="n">
        <f aca="false">L34+M34</f>
        <v>670320</v>
      </c>
      <c r="O34" s="7" t="s">
        <v>24</v>
      </c>
      <c r="P34" s="7" t="s">
        <v>378</v>
      </c>
      <c r="Q34" s="17" t="s">
        <v>342</v>
      </c>
      <c r="R34" s="6" t="s">
        <v>431</v>
      </c>
    </row>
    <row r="35" customFormat="false" ht="21.75" hidden="false" customHeight="true" outlineLevel="0" collapsed="false">
      <c r="A35" s="9" t="s">
        <v>432</v>
      </c>
      <c r="B35" s="12" t="s">
        <v>16</v>
      </c>
      <c r="C35" s="10" t="s">
        <v>17</v>
      </c>
      <c r="D35" s="10" t="s">
        <v>18</v>
      </c>
      <c r="E35" s="11" t="s">
        <v>433</v>
      </c>
      <c r="F35" s="18" t="n">
        <v>45418</v>
      </c>
      <c r="G35" s="18" t="n">
        <v>45425</v>
      </c>
      <c r="H35" s="12" t="n">
        <v>1500</v>
      </c>
      <c r="I35" s="19" t="n">
        <v>310</v>
      </c>
      <c r="J35" s="20" t="n">
        <v>2</v>
      </c>
      <c r="K35" s="19" t="n">
        <f aca="false">I35*H35*J35/100</f>
        <v>9300</v>
      </c>
      <c r="L35" s="19" t="n">
        <f aca="false">I35*H35-K35</f>
        <v>455700</v>
      </c>
      <c r="M35" s="19" t="n">
        <f aca="false">L35*0.12</f>
        <v>54684</v>
      </c>
      <c r="N35" s="19" t="n">
        <f aca="false">L35+M35</f>
        <v>510384</v>
      </c>
      <c r="O35" s="12" t="s">
        <v>24</v>
      </c>
      <c r="P35" s="12" t="s">
        <v>341</v>
      </c>
      <c r="Q35" s="17" t="s">
        <v>342</v>
      </c>
      <c r="R35" s="11" t="s">
        <v>434</v>
      </c>
    </row>
    <row r="36" customFormat="false" ht="21.75" hidden="false" customHeight="true" outlineLevel="0" collapsed="false">
      <c r="A36" s="4" t="s">
        <v>435</v>
      </c>
      <c r="B36" s="7" t="s">
        <v>306</v>
      </c>
      <c r="C36" s="5" t="s">
        <v>307</v>
      </c>
      <c r="D36" s="5" t="s">
        <v>308</v>
      </c>
      <c r="E36" s="6" t="s">
        <v>369</v>
      </c>
      <c r="F36" s="14" t="n">
        <v>45420</v>
      </c>
      <c r="G36" s="14" t="n">
        <v>45427</v>
      </c>
      <c r="H36" s="7" t="n">
        <v>300</v>
      </c>
      <c r="I36" s="15" t="n">
        <v>1800</v>
      </c>
      <c r="J36" s="16" t="n">
        <v>0</v>
      </c>
      <c r="K36" s="15" t="n">
        <f aca="false">I36*H36*J36/100</f>
        <v>0</v>
      </c>
      <c r="L36" s="15" t="n">
        <f aca="false">I36*H36-K36</f>
        <v>540000</v>
      </c>
      <c r="M36" s="15" t="n">
        <f aca="false">L36*0.12</f>
        <v>64800</v>
      </c>
      <c r="N36" s="15" t="n">
        <f aca="false">L36+M36</f>
        <v>604800</v>
      </c>
      <c r="O36" s="7" t="s">
        <v>24</v>
      </c>
      <c r="P36" s="7" t="s">
        <v>351</v>
      </c>
      <c r="Q36" s="17" t="s">
        <v>342</v>
      </c>
      <c r="R36" s="6" t="s">
        <v>436</v>
      </c>
    </row>
    <row r="37" customFormat="false" ht="21.75" hidden="false" customHeight="true" outlineLevel="0" collapsed="false">
      <c r="A37" s="9" t="s">
        <v>437</v>
      </c>
      <c r="B37" s="12" t="s">
        <v>44</v>
      </c>
      <c r="C37" s="10" t="s">
        <v>45</v>
      </c>
      <c r="D37" s="10" t="s">
        <v>46</v>
      </c>
      <c r="E37" s="11" t="s">
        <v>438</v>
      </c>
      <c r="F37" s="18" t="n">
        <v>45422</v>
      </c>
      <c r="G37" s="18" t="n">
        <v>45436</v>
      </c>
      <c r="H37" s="12" t="n">
        <v>1500</v>
      </c>
      <c r="I37" s="19" t="n">
        <v>680</v>
      </c>
      <c r="J37" s="20" t="n">
        <v>2</v>
      </c>
      <c r="K37" s="19" t="n">
        <f aca="false">I37*H37*J37/100</f>
        <v>20400</v>
      </c>
      <c r="L37" s="19" t="n">
        <f aca="false">I37*H37-K37</f>
        <v>999600</v>
      </c>
      <c r="M37" s="19" t="n">
        <f aca="false">L37*0.12</f>
        <v>119952</v>
      </c>
      <c r="N37" s="19" t="n">
        <f aca="false">L37+M37</f>
        <v>1119552</v>
      </c>
      <c r="O37" s="12" t="s">
        <v>24</v>
      </c>
      <c r="P37" s="12" t="s">
        <v>341</v>
      </c>
      <c r="Q37" s="17" t="s">
        <v>342</v>
      </c>
      <c r="R37" s="11" t="s">
        <v>439</v>
      </c>
    </row>
    <row r="38" customFormat="false" ht="21.75" hidden="false" customHeight="true" outlineLevel="0" collapsed="false">
      <c r="A38" s="4" t="s">
        <v>440</v>
      </c>
      <c r="B38" s="7" t="s">
        <v>82</v>
      </c>
      <c r="C38" s="5" t="s">
        <v>83</v>
      </c>
      <c r="D38" s="5" t="s">
        <v>84</v>
      </c>
      <c r="E38" s="6" t="s">
        <v>441</v>
      </c>
      <c r="F38" s="14" t="n">
        <v>45427</v>
      </c>
      <c r="G38" s="14" t="n">
        <v>45441</v>
      </c>
      <c r="H38" s="7" t="n">
        <v>100</v>
      </c>
      <c r="I38" s="15" t="n">
        <v>1850</v>
      </c>
      <c r="J38" s="16" t="n">
        <v>5</v>
      </c>
      <c r="K38" s="15" t="n">
        <f aca="false">I38*H38*J38/100</f>
        <v>9250</v>
      </c>
      <c r="L38" s="15" t="n">
        <f aca="false">I38*H38-K38</f>
        <v>175750</v>
      </c>
      <c r="M38" s="15" t="n">
        <f aca="false">L38*0.12</f>
        <v>21090</v>
      </c>
      <c r="N38" s="15" t="n">
        <f aca="false">L38+M38</f>
        <v>196840</v>
      </c>
      <c r="O38" s="7" t="s">
        <v>35</v>
      </c>
      <c r="P38" s="7" t="s">
        <v>341</v>
      </c>
      <c r="Q38" s="17" t="s">
        <v>342</v>
      </c>
      <c r="R38" s="6" t="s">
        <v>442</v>
      </c>
    </row>
    <row r="39" customFormat="false" ht="21.75" hidden="false" customHeight="true" outlineLevel="0" collapsed="false">
      <c r="A39" s="9" t="s">
        <v>443</v>
      </c>
      <c r="B39" s="12" t="s">
        <v>135</v>
      </c>
      <c r="C39" s="10" t="s">
        <v>136</v>
      </c>
      <c r="D39" s="10" t="s">
        <v>128</v>
      </c>
      <c r="E39" s="11" t="s">
        <v>444</v>
      </c>
      <c r="F39" s="18" t="n">
        <v>45432</v>
      </c>
      <c r="G39" s="18" t="n">
        <v>45435</v>
      </c>
      <c r="H39" s="12" t="n">
        <v>2000</v>
      </c>
      <c r="I39" s="19" t="n">
        <v>74.5</v>
      </c>
      <c r="J39" s="20" t="n">
        <v>0</v>
      </c>
      <c r="K39" s="19" t="n">
        <f aca="false">I39*H39*J39/100</f>
        <v>0</v>
      </c>
      <c r="L39" s="19" t="n">
        <f aca="false">I39*H39-K39</f>
        <v>149000</v>
      </c>
      <c r="M39" s="19" t="n">
        <f aca="false">L39*0.12</f>
        <v>17880</v>
      </c>
      <c r="N39" s="19" t="n">
        <f aca="false">L39+M39</f>
        <v>166880</v>
      </c>
      <c r="O39" s="12" t="s">
        <v>134</v>
      </c>
      <c r="P39" s="12" t="s">
        <v>364</v>
      </c>
      <c r="Q39" s="17" t="s">
        <v>342</v>
      </c>
      <c r="R39" s="11" t="s">
        <v>445</v>
      </c>
    </row>
    <row r="40" customFormat="false" ht="21.75" hidden="false" customHeight="true" outlineLevel="0" collapsed="false">
      <c r="A40" s="4" t="s">
        <v>446</v>
      </c>
      <c r="B40" s="7" t="s">
        <v>111</v>
      </c>
      <c r="C40" s="5" t="s">
        <v>112</v>
      </c>
      <c r="D40" s="5" t="s">
        <v>113</v>
      </c>
      <c r="E40" s="6" t="s">
        <v>447</v>
      </c>
      <c r="F40" s="14" t="n">
        <v>45434</v>
      </c>
      <c r="G40" s="14" t="n">
        <v>45441</v>
      </c>
      <c r="H40" s="7" t="n">
        <v>150</v>
      </c>
      <c r="I40" s="15" t="n">
        <v>1850</v>
      </c>
      <c r="J40" s="16" t="n">
        <v>0</v>
      </c>
      <c r="K40" s="15" t="n">
        <f aca="false">I40*H40*J40/100</f>
        <v>0</v>
      </c>
      <c r="L40" s="15" t="n">
        <f aca="false">I40*H40-K40</f>
        <v>277500</v>
      </c>
      <c r="M40" s="15" t="n">
        <f aca="false">L40*0.12</f>
        <v>33300</v>
      </c>
      <c r="N40" s="15" t="n">
        <f aca="false">L40+M40</f>
        <v>310800</v>
      </c>
      <c r="O40" s="7" t="s">
        <v>24</v>
      </c>
      <c r="P40" s="7" t="s">
        <v>358</v>
      </c>
      <c r="Q40" s="17" t="s">
        <v>342</v>
      </c>
      <c r="R40" s="6" t="s">
        <v>448</v>
      </c>
    </row>
    <row r="41" customFormat="false" ht="21.75" hidden="false" customHeight="true" outlineLevel="0" collapsed="false">
      <c r="A41" s="9" t="s">
        <v>449</v>
      </c>
      <c r="B41" s="12" t="s">
        <v>111</v>
      </c>
      <c r="C41" s="10" t="s">
        <v>112</v>
      </c>
      <c r="D41" s="10" t="s">
        <v>113</v>
      </c>
      <c r="E41" s="11" t="s">
        <v>450</v>
      </c>
      <c r="F41" s="18" t="n">
        <v>45434</v>
      </c>
      <c r="G41" s="18" t="n">
        <v>45441</v>
      </c>
      <c r="H41" s="12" t="n">
        <v>100</v>
      </c>
      <c r="I41" s="19" t="n">
        <v>2200</v>
      </c>
      <c r="J41" s="20" t="n">
        <v>0</v>
      </c>
      <c r="K41" s="19" t="n">
        <f aca="false">I41*H41*J41/100</f>
        <v>0</v>
      </c>
      <c r="L41" s="19" t="n">
        <f aca="false">I41*H41-K41</f>
        <v>220000</v>
      </c>
      <c r="M41" s="19" t="n">
        <f aca="false">L41*0.12</f>
        <v>26400</v>
      </c>
      <c r="N41" s="19" t="n">
        <f aca="false">L41+M41</f>
        <v>246400</v>
      </c>
      <c r="O41" s="12" t="s">
        <v>24</v>
      </c>
      <c r="P41" s="12" t="s">
        <v>358</v>
      </c>
      <c r="Q41" s="17" t="s">
        <v>342</v>
      </c>
      <c r="R41" s="11" t="s">
        <v>451</v>
      </c>
    </row>
    <row r="42" customFormat="false" ht="21.75" hidden="false" customHeight="true" outlineLevel="0" collapsed="false">
      <c r="A42" s="4" t="s">
        <v>452</v>
      </c>
      <c r="B42" s="7" t="s">
        <v>164</v>
      </c>
      <c r="C42" s="5" t="s">
        <v>165</v>
      </c>
      <c r="D42" s="5" t="s">
        <v>151</v>
      </c>
      <c r="E42" s="6" t="s">
        <v>453</v>
      </c>
      <c r="F42" s="14" t="n">
        <v>45446</v>
      </c>
      <c r="G42" s="14" t="n">
        <v>45453</v>
      </c>
      <c r="H42" s="7" t="n">
        <v>8</v>
      </c>
      <c r="I42" s="15" t="n">
        <v>68000</v>
      </c>
      <c r="J42" s="16" t="n">
        <v>5</v>
      </c>
      <c r="K42" s="15" t="n">
        <f aca="false">I42*H42*J42/100</f>
        <v>27200</v>
      </c>
      <c r="L42" s="15" t="n">
        <f aca="false">I42*H42-K42</f>
        <v>516800</v>
      </c>
      <c r="M42" s="15" t="n">
        <f aca="false">L42*0.12</f>
        <v>62016</v>
      </c>
      <c r="N42" s="15" t="n">
        <f aca="false">L42+M42</f>
        <v>578816</v>
      </c>
      <c r="O42" s="7" t="s">
        <v>24</v>
      </c>
      <c r="P42" s="7" t="s">
        <v>378</v>
      </c>
      <c r="Q42" s="17" t="s">
        <v>342</v>
      </c>
      <c r="R42" s="6" t="s">
        <v>454</v>
      </c>
    </row>
    <row r="43" customFormat="false" ht="21.75" hidden="false" customHeight="true" outlineLevel="0" collapsed="false">
      <c r="A43" s="9" t="s">
        <v>455</v>
      </c>
      <c r="B43" s="12" t="s">
        <v>171</v>
      </c>
      <c r="C43" s="10" t="s">
        <v>172</v>
      </c>
      <c r="D43" s="10" t="s">
        <v>151</v>
      </c>
      <c r="E43" s="11" t="s">
        <v>456</v>
      </c>
      <c r="F43" s="18" t="n">
        <v>45448</v>
      </c>
      <c r="G43" s="18" t="n">
        <v>45455</v>
      </c>
      <c r="H43" s="12" t="n">
        <v>5</v>
      </c>
      <c r="I43" s="19" t="n">
        <v>55000</v>
      </c>
      <c r="J43" s="20" t="n">
        <v>5</v>
      </c>
      <c r="K43" s="19" t="n">
        <f aca="false">I43*H43*J43/100</f>
        <v>13750</v>
      </c>
      <c r="L43" s="19" t="n">
        <f aca="false">I43*H43-K43</f>
        <v>261250</v>
      </c>
      <c r="M43" s="19" t="n">
        <f aca="false">L43*0.12</f>
        <v>31350</v>
      </c>
      <c r="N43" s="19" t="n">
        <f aca="false">L43+M43</f>
        <v>292600</v>
      </c>
      <c r="O43" s="12" t="s">
        <v>24</v>
      </c>
      <c r="P43" s="12" t="s">
        <v>378</v>
      </c>
      <c r="Q43" s="17" t="s">
        <v>342</v>
      </c>
      <c r="R43" s="11" t="s">
        <v>457</v>
      </c>
    </row>
    <row r="44" customFormat="false" ht="21.75" hidden="false" customHeight="true" outlineLevel="0" collapsed="false">
      <c r="A44" s="4" t="s">
        <v>458</v>
      </c>
      <c r="B44" s="7" t="s">
        <v>237</v>
      </c>
      <c r="C44" s="5" t="s">
        <v>238</v>
      </c>
      <c r="D44" s="5" t="s">
        <v>239</v>
      </c>
      <c r="E44" s="6" t="s">
        <v>459</v>
      </c>
      <c r="F44" s="14" t="n">
        <v>45453</v>
      </c>
      <c r="G44" s="14" t="n">
        <v>45458</v>
      </c>
      <c r="H44" s="7" t="n">
        <v>500</v>
      </c>
      <c r="I44" s="15" t="n">
        <v>420</v>
      </c>
      <c r="J44" s="16" t="n">
        <v>0</v>
      </c>
      <c r="K44" s="15" t="n">
        <f aca="false">I44*H44*J44/100</f>
        <v>0</v>
      </c>
      <c r="L44" s="15" t="n">
        <f aca="false">I44*H44-K44</f>
        <v>210000</v>
      </c>
      <c r="M44" s="15" t="n">
        <f aca="false">L44*0.12</f>
        <v>25200</v>
      </c>
      <c r="N44" s="15" t="n">
        <f aca="false">L44+M44</f>
        <v>235200</v>
      </c>
      <c r="O44" s="7" t="s">
        <v>24</v>
      </c>
      <c r="P44" s="7" t="s">
        <v>351</v>
      </c>
      <c r="Q44" s="17" t="s">
        <v>342</v>
      </c>
      <c r="R44" s="6" t="s">
        <v>460</v>
      </c>
    </row>
    <row r="45" customFormat="false" ht="21.75" hidden="false" customHeight="true" outlineLevel="0" collapsed="false">
      <c r="A45" s="9" t="s">
        <v>461</v>
      </c>
      <c r="B45" s="12" t="s">
        <v>245</v>
      </c>
      <c r="C45" s="10" t="s">
        <v>246</v>
      </c>
      <c r="D45" s="10" t="s">
        <v>239</v>
      </c>
      <c r="E45" s="11" t="s">
        <v>462</v>
      </c>
      <c r="F45" s="18" t="n">
        <v>45455</v>
      </c>
      <c r="G45" s="18" t="n">
        <v>45460</v>
      </c>
      <c r="H45" s="12" t="n">
        <v>400</v>
      </c>
      <c r="I45" s="19" t="n">
        <v>680</v>
      </c>
      <c r="J45" s="20" t="n">
        <v>0</v>
      </c>
      <c r="K45" s="19" t="n">
        <f aca="false">I45*H45*J45/100</f>
        <v>0</v>
      </c>
      <c r="L45" s="19" t="n">
        <f aca="false">I45*H45-K45</f>
        <v>272000</v>
      </c>
      <c r="M45" s="19" t="n">
        <f aca="false">L45*0.12</f>
        <v>32640</v>
      </c>
      <c r="N45" s="19" t="n">
        <f aca="false">L45+M45</f>
        <v>304640</v>
      </c>
      <c r="O45" s="12" t="s">
        <v>24</v>
      </c>
      <c r="P45" s="12" t="s">
        <v>351</v>
      </c>
      <c r="Q45" s="17" t="s">
        <v>342</v>
      </c>
      <c r="R45" s="11" t="s">
        <v>463</v>
      </c>
    </row>
    <row r="46" customFormat="false" ht="21.75" hidden="false" customHeight="true" outlineLevel="0" collapsed="false">
      <c r="A46" s="4" t="s">
        <v>464</v>
      </c>
      <c r="B46" s="7" t="s">
        <v>126</v>
      </c>
      <c r="C46" s="5" t="s">
        <v>127</v>
      </c>
      <c r="D46" s="5" t="s">
        <v>128</v>
      </c>
      <c r="E46" s="6" t="s">
        <v>363</v>
      </c>
      <c r="F46" s="14" t="n">
        <v>45468</v>
      </c>
      <c r="G46" s="14" t="n">
        <v>45471</v>
      </c>
      <c r="H46" s="7" t="n">
        <v>15000</v>
      </c>
      <c r="I46" s="15" t="n">
        <v>70.8</v>
      </c>
      <c r="J46" s="16" t="n">
        <v>0</v>
      </c>
      <c r="K46" s="15" t="n">
        <f aca="false">I46*H46*J46/100</f>
        <v>0</v>
      </c>
      <c r="L46" s="15" t="n">
        <f aca="false">I46*H46-K46</f>
        <v>1062000</v>
      </c>
      <c r="M46" s="15" t="n">
        <f aca="false">L46*0.12</f>
        <v>127440</v>
      </c>
      <c r="N46" s="15" t="n">
        <f aca="false">L46+M46</f>
        <v>1189440</v>
      </c>
      <c r="O46" s="7" t="s">
        <v>134</v>
      </c>
      <c r="P46" s="7" t="s">
        <v>364</v>
      </c>
      <c r="Q46" s="17" t="s">
        <v>342</v>
      </c>
      <c r="R46" s="6" t="s">
        <v>465</v>
      </c>
    </row>
    <row r="47" customFormat="false" ht="21.75" hidden="false" customHeight="true" outlineLevel="0" collapsed="false">
      <c r="A47" s="9" t="s">
        <v>466</v>
      </c>
      <c r="B47" s="12" t="s">
        <v>185</v>
      </c>
      <c r="C47" s="10" t="s">
        <v>186</v>
      </c>
      <c r="D47" s="10" t="s">
        <v>187</v>
      </c>
      <c r="E47" s="11" t="s">
        <v>467</v>
      </c>
      <c r="F47" s="18" t="n">
        <v>45474</v>
      </c>
      <c r="G47" s="18" t="n">
        <v>45477</v>
      </c>
      <c r="H47" s="12" t="n">
        <v>150</v>
      </c>
      <c r="I47" s="19" t="n">
        <v>285</v>
      </c>
      <c r="J47" s="20" t="n">
        <v>0</v>
      </c>
      <c r="K47" s="19" t="n">
        <f aca="false">I47*H47*J47/100</f>
        <v>0</v>
      </c>
      <c r="L47" s="19" t="n">
        <f aca="false">I47*H47-K47</f>
        <v>42750</v>
      </c>
      <c r="M47" s="19" t="n">
        <f aca="false">L47*0.12</f>
        <v>5130</v>
      </c>
      <c r="N47" s="19" t="n">
        <f aca="false">L47+M47</f>
        <v>47880</v>
      </c>
      <c r="O47" s="12" t="s">
        <v>24</v>
      </c>
      <c r="P47" s="12" t="s">
        <v>382</v>
      </c>
      <c r="Q47" s="17" t="s">
        <v>342</v>
      </c>
      <c r="R47" s="11" t="s">
        <v>468</v>
      </c>
    </row>
    <row r="48" customFormat="false" ht="21.75" hidden="false" customHeight="true" outlineLevel="0" collapsed="false">
      <c r="A48" s="4" t="s">
        <v>469</v>
      </c>
      <c r="B48" s="7" t="s">
        <v>28</v>
      </c>
      <c r="C48" s="5" t="s">
        <v>29</v>
      </c>
      <c r="D48" s="5" t="s">
        <v>18</v>
      </c>
      <c r="E48" s="6" t="s">
        <v>470</v>
      </c>
      <c r="F48" s="14" t="n">
        <v>45478</v>
      </c>
      <c r="G48" s="14" t="n">
        <v>45488</v>
      </c>
      <c r="H48" s="7" t="n">
        <v>3500</v>
      </c>
      <c r="I48" s="15" t="n">
        <v>292</v>
      </c>
      <c r="J48" s="16" t="n">
        <v>2</v>
      </c>
      <c r="K48" s="15" t="n">
        <f aca="false">I48*H48*J48/100</f>
        <v>20440</v>
      </c>
      <c r="L48" s="15" t="n">
        <f aca="false">I48*H48-K48</f>
        <v>1001560</v>
      </c>
      <c r="M48" s="15" t="n">
        <f aca="false">L48*0.12</f>
        <v>120187.2</v>
      </c>
      <c r="N48" s="15" t="n">
        <f aca="false">L48+M48</f>
        <v>1121747.2</v>
      </c>
      <c r="O48" s="7" t="s">
        <v>35</v>
      </c>
      <c r="P48" s="7" t="s">
        <v>341</v>
      </c>
      <c r="Q48" s="17" t="s">
        <v>342</v>
      </c>
      <c r="R48" s="6" t="s">
        <v>471</v>
      </c>
    </row>
    <row r="49" customFormat="false" ht="21.75" hidden="false" customHeight="true" outlineLevel="0" collapsed="false">
      <c r="A49" s="9" t="s">
        <v>472</v>
      </c>
      <c r="B49" s="12" t="s">
        <v>44</v>
      </c>
      <c r="C49" s="10" t="s">
        <v>45</v>
      </c>
      <c r="D49" s="10" t="s">
        <v>46</v>
      </c>
      <c r="E49" s="11" t="s">
        <v>473</v>
      </c>
      <c r="F49" s="18" t="n">
        <v>45481</v>
      </c>
      <c r="G49" s="18" t="n">
        <v>45495</v>
      </c>
      <c r="H49" s="12" t="n">
        <v>2000</v>
      </c>
      <c r="I49" s="19" t="n">
        <v>1850</v>
      </c>
      <c r="J49" s="20" t="n">
        <v>1.5</v>
      </c>
      <c r="K49" s="19" t="n">
        <f aca="false">I49*H49*J49/100</f>
        <v>55500</v>
      </c>
      <c r="L49" s="19" t="n">
        <f aca="false">I49*H49-K49</f>
        <v>3644500</v>
      </c>
      <c r="M49" s="19" t="n">
        <f aca="false">L49*0.12</f>
        <v>437340</v>
      </c>
      <c r="N49" s="19" t="n">
        <f aca="false">L49+M49</f>
        <v>4081840</v>
      </c>
      <c r="O49" s="12" t="s">
        <v>24</v>
      </c>
      <c r="P49" s="12" t="s">
        <v>341</v>
      </c>
      <c r="Q49" s="17" t="s">
        <v>342</v>
      </c>
      <c r="R49" s="11" t="s">
        <v>474</v>
      </c>
    </row>
    <row r="50" customFormat="false" ht="21.75" hidden="false" customHeight="true" outlineLevel="0" collapsed="false">
      <c r="A50" s="4" t="s">
        <v>475</v>
      </c>
      <c r="B50" s="7" t="s">
        <v>97</v>
      </c>
      <c r="C50" s="5" t="s">
        <v>98</v>
      </c>
      <c r="D50" s="5" t="s">
        <v>84</v>
      </c>
      <c r="E50" s="6" t="s">
        <v>476</v>
      </c>
      <c r="F50" s="14" t="n">
        <v>45483</v>
      </c>
      <c r="G50" s="14" t="n">
        <v>45497</v>
      </c>
      <c r="H50" s="7" t="n">
        <v>1</v>
      </c>
      <c r="I50" s="15" t="n">
        <v>1850000</v>
      </c>
      <c r="J50" s="16" t="n">
        <v>3</v>
      </c>
      <c r="K50" s="15" t="n">
        <f aca="false">I50*H50*J50/100</f>
        <v>55500</v>
      </c>
      <c r="L50" s="15" t="n">
        <f aca="false">I50*H50-K50</f>
        <v>1794500</v>
      </c>
      <c r="M50" s="15" t="n">
        <f aca="false">L50*0.12</f>
        <v>215340</v>
      </c>
      <c r="N50" s="15" t="n">
        <f aca="false">L50+M50</f>
        <v>2009840</v>
      </c>
      <c r="O50" s="7" t="s">
        <v>24</v>
      </c>
      <c r="P50" s="7" t="s">
        <v>405</v>
      </c>
      <c r="Q50" s="17" t="s">
        <v>342</v>
      </c>
      <c r="R50" s="6" t="s">
        <v>477</v>
      </c>
    </row>
    <row r="51" customFormat="false" ht="21.75" hidden="false" customHeight="true" outlineLevel="0" collapsed="false">
      <c r="A51" s="9" t="s">
        <v>478</v>
      </c>
      <c r="B51" s="12" t="s">
        <v>75</v>
      </c>
      <c r="C51" s="10" t="s">
        <v>76</v>
      </c>
      <c r="D51" s="10" t="s">
        <v>69</v>
      </c>
      <c r="E51" s="11" t="s">
        <v>479</v>
      </c>
      <c r="F51" s="18" t="n">
        <v>45488</v>
      </c>
      <c r="G51" s="18" t="n">
        <v>45491</v>
      </c>
      <c r="H51" s="12" t="n">
        <v>80</v>
      </c>
      <c r="I51" s="19" t="n">
        <v>1250</v>
      </c>
      <c r="J51" s="20" t="n">
        <v>0</v>
      </c>
      <c r="K51" s="19" t="n">
        <f aca="false">I51*H51*J51/100</f>
        <v>0</v>
      </c>
      <c r="L51" s="19" t="n">
        <f aca="false">I51*H51-K51</f>
        <v>100000</v>
      </c>
      <c r="M51" s="19" t="n">
        <f aca="false">L51*0.12</f>
        <v>12000</v>
      </c>
      <c r="N51" s="19" t="n">
        <f aca="false">L51+M51</f>
        <v>112000</v>
      </c>
      <c r="O51" s="12" t="s">
        <v>24</v>
      </c>
      <c r="P51" s="12" t="s">
        <v>351</v>
      </c>
      <c r="Q51" s="17" t="s">
        <v>342</v>
      </c>
      <c r="R51" s="11" t="s">
        <v>480</v>
      </c>
    </row>
    <row r="52" customFormat="false" ht="21.75" hidden="false" customHeight="true" outlineLevel="0" collapsed="false">
      <c r="A52" s="4" t="s">
        <v>481</v>
      </c>
      <c r="B52" s="7" t="s">
        <v>75</v>
      </c>
      <c r="C52" s="5" t="s">
        <v>76</v>
      </c>
      <c r="D52" s="5" t="s">
        <v>69</v>
      </c>
      <c r="E52" s="6" t="s">
        <v>482</v>
      </c>
      <c r="F52" s="14" t="n">
        <v>45488</v>
      </c>
      <c r="G52" s="14" t="n">
        <v>45491</v>
      </c>
      <c r="H52" s="7" t="n">
        <v>40</v>
      </c>
      <c r="I52" s="15" t="n">
        <v>2100</v>
      </c>
      <c r="J52" s="16" t="n">
        <v>0</v>
      </c>
      <c r="K52" s="15" t="n">
        <f aca="false">I52*H52*J52/100</f>
        <v>0</v>
      </c>
      <c r="L52" s="15" t="n">
        <f aca="false">I52*H52-K52</f>
        <v>84000</v>
      </c>
      <c r="M52" s="15" t="n">
        <f aca="false">L52*0.12</f>
        <v>10080</v>
      </c>
      <c r="N52" s="15" t="n">
        <f aca="false">L52+M52</f>
        <v>94080</v>
      </c>
      <c r="O52" s="7" t="s">
        <v>24</v>
      </c>
      <c r="P52" s="7" t="s">
        <v>351</v>
      </c>
      <c r="Q52" s="17" t="s">
        <v>342</v>
      </c>
      <c r="R52" s="6" t="s">
        <v>480</v>
      </c>
    </row>
    <row r="53" customFormat="false" ht="21.75" hidden="false" customHeight="true" outlineLevel="0" collapsed="false">
      <c r="A53" s="9" t="s">
        <v>483</v>
      </c>
      <c r="B53" s="12" t="s">
        <v>215</v>
      </c>
      <c r="C53" s="10" t="s">
        <v>216</v>
      </c>
      <c r="D53" s="10" t="s">
        <v>217</v>
      </c>
      <c r="E53" s="11" t="s">
        <v>484</v>
      </c>
      <c r="F53" s="18" t="n">
        <v>45493</v>
      </c>
      <c r="G53" s="18" t="n">
        <v>45524</v>
      </c>
      <c r="H53" s="12" t="n">
        <v>1</v>
      </c>
      <c r="I53" s="19" t="n">
        <v>185000</v>
      </c>
      <c r="J53" s="20" t="n">
        <v>0</v>
      </c>
      <c r="K53" s="19" t="n">
        <f aca="false">I53*H53*J53/100</f>
        <v>0</v>
      </c>
      <c r="L53" s="19" t="n">
        <f aca="false">I53*H53-K53</f>
        <v>185000</v>
      </c>
      <c r="M53" s="19" t="n">
        <f aca="false">L53*0.12</f>
        <v>22200</v>
      </c>
      <c r="N53" s="19" t="n">
        <f aca="false">L53+M53</f>
        <v>207200</v>
      </c>
      <c r="O53" s="12" t="s">
        <v>24</v>
      </c>
      <c r="P53" s="12" t="s">
        <v>341</v>
      </c>
      <c r="Q53" s="17" t="s">
        <v>342</v>
      </c>
      <c r="R53" s="11" t="s">
        <v>485</v>
      </c>
    </row>
    <row r="54" customFormat="false" ht="21.75" hidden="false" customHeight="true" outlineLevel="0" collapsed="false">
      <c r="A54" s="4" t="s">
        <v>486</v>
      </c>
      <c r="B54" s="7" t="s">
        <v>135</v>
      </c>
      <c r="C54" s="5" t="s">
        <v>136</v>
      </c>
      <c r="D54" s="5" t="s">
        <v>128</v>
      </c>
      <c r="E54" s="6" t="s">
        <v>487</v>
      </c>
      <c r="F54" s="14" t="n">
        <v>45498</v>
      </c>
      <c r="G54" s="14" t="n">
        <v>45501</v>
      </c>
      <c r="H54" s="7" t="n">
        <v>12000</v>
      </c>
      <c r="I54" s="15" t="n">
        <v>71.5</v>
      </c>
      <c r="J54" s="16" t="n">
        <v>0</v>
      </c>
      <c r="K54" s="15" t="n">
        <f aca="false">I54*H54*J54/100</f>
        <v>0</v>
      </c>
      <c r="L54" s="15" t="n">
        <f aca="false">I54*H54-K54</f>
        <v>858000</v>
      </c>
      <c r="M54" s="15" t="n">
        <f aca="false">L54*0.12</f>
        <v>102960</v>
      </c>
      <c r="N54" s="15" t="n">
        <f aca="false">L54+M54</f>
        <v>960960</v>
      </c>
      <c r="O54" s="7" t="s">
        <v>134</v>
      </c>
      <c r="P54" s="7" t="s">
        <v>364</v>
      </c>
      <c r="Q54" s="17" t="s">
        <v>342</v>
      </c>
      <c r="R54" s="6" t="s">
        <v>488</v>
      </c>
    </row>
    <row r="55" customFormat="false" ht="21.75" hidden="false" customHeight="true" outlineLevel="0" collapsed="false">
      <c r="A55" s="9" t="s">
        <v>489</v>
      </c>
      <c r="B55" s="12" t="s">
        <v>82</v>
      </c>
      <c r="C55" s="10" t="s">
        <v>83</v>
      </c>
      <c r="D55" s="10" t="s">
        <v>84</v>
      </c>
      <c r="E55" s="11" t="s">
        <v>490</v>
      </c>
      <c r="F55" s="18" t="n">
        <v>45506</v>
      </c>
      <c r="G55" s="18" t="n">
        <v>45520</v>
      </c>
      <c r="H55" s="12" t="n">
        <v>4</v>
      </c>
      <c r="I55" s="19" t="n">
        <v>285000</v>
      </c>
      <c r="J55" s="20" t="n">
        <v>3</v>
      </c>
      <c r="K55" s="19" t="n">
        <f aca="false">I55*H55*J55/100</f>
        <v>34200</v>
      </c>
      <c r="L55" s="19" t="n">
        <f aca="false">I55*H55-K55</f>
        <v>1105800</v>
      </c>
      <c r="M55" s="19" t="n">
        <f aca="false">L55*0.12</f>
        <v>132696</v>
      </c>
      <c r="N55" s="19" t="n">
        <f aca="false">L55+M55</f>
        <v>1238496</v>
      </c>
      <c r="O55" s="12" t="s">
        <v>35</v>
      </c>
      <c r="P55" s="12" t="s">
        <v>341</v>
      </c>
      <c r="Q55" s="17" t="s">
        <v>342</v>
      </c>
      <c r="R55" s="11" t="s">
        <v>491</v>
      </c>
    </row>
    <row r="56" customFormat="false" ht="21.75" hidden="false" customHeight="true" outlineLevel="0" collapsed="false">
      <c r="A56" s="4" t="s">
        <v>492</v>
      </c>
      <c r="B56" s="7" t="s">
        <v>111</v>
      </c>
      <c r="C56" s="5" t="s">
        <v>112</v>
      </c>
      <c r="D56" s="5" t="s">
        <v>113</v>
      </c>
      <c r="E56" s="6" t="s">
        <v>493</v>
      </c>
      <c r="F56" s="14" t="n">
        <v>45509</v>
      </c>
      <c r="G56" s="14" t="n">
        <v>45516</v>
      </c>
      <c r="H56" s="7" t="n">
        <v>250</v>
      </c>
      <c r="I56" s="15" t="n">
        <v>480</v>
      </c>
      <c r="J56" s="16" t="n">
        <v>0</v>
      </c>
      <c r="K56" s="15" t="n">
        <f aca="false">I56*H56*J56/100</f>
        <v>0</v>
      </c>
      <c r="L56" s="15" t="n">
        <f aca="false">I56*H56-K56</f>
        <v>120000</v>
      </c>
      <c r="M56" s="15" t="n">
        <f aca="false">L56*0.12</f>
        <v>14400</v>
      </c>
      <c r="N56" s="15" t="n">
        <f aca="false">L56+M56</f>
        <v>134400</v>
      </c>
      <c r="O56" s="7" t="s">
        <v>24</v>
      </c>
      <c r="P56" s="7" t="s">
        <v>358</v>
      </c>
      <c r="Q56" s="17" t="s">
        <v>342</v>
      </c>
      <c r="R56" s="6" t="s">
        <v>494</v>
      </c>
    </row>
    <row r="57" customFormat="false" ht="21.75" hidden="false" customHeight="true" outlineLevel="0" collapsed="false">
      <c r="A57" s="9" t="s">
        <v>495</v>
      </c>
      <c r="B57" s="12" t="s">
        <v>37</v>
      </c>
      <c r="C57" s="10" t="s">
        <v>38</v>
      </c>
      <c r="D57" s="10" t="s">
        <v>18</v>
      </c>
      <c r="E57" s="11" t="s">
        <v>496</v>
      </c>
      <c r="F57" s="18" t="n">
        <v>45512</v>
      </c>
      <c r="G57" s="18" t="n">
        <v>45519</v>
      </c>
      <c r="H57" s="12" t="n">
        <v>500</v>
      </c>
      <c r="I57" s="19" t="n">
        <v>5200</v>
      </c>
      <c r="J57" s="20" t="n">
        <v>0</v>
      </c>
      <c r="K57" s="19" t="n">
        <f aca="false">I57*H57*J57/100</f>
        <v>0</v>
      </c>
      <c r="L57" s="19" t="n">
        <f aca="false">I57*H57-K57</f>
        <v>2600000</v>
      </c>
      <c r="M57" s="19" t="n">
        <f aca="false">L57*0.12</f>
        <v>312000</v>
      </c>
      <c r="N57" s="19" t="n">
        <f aca="false">L57+M57</f>
        <v>2912000</v>
      </c>
      <c r="O57" s="12" t="s">
        <v>24</v>
      </c>
      <c r="P57" s="12" t="s">
        <v>341</v>
      </c>
      <c r="Q57" s="17" t="s">
        <v>342</v>
      </c>
      <c r="R57" s="11" t="s">
        <v>497</v>
      </c>
    </row>
    <row r="58" customFormat="false" ht="21.75" hidden="false" customHeight="true" outlineLevel="0" collapsed="false">
      <c r="A58" s="4" t="s">
        <v>498</v>
      </c>
      <c r="B58" s="7" t="s">
        <v>306</v>
      </c>
      <c r="C58" s="5" t="s">
        <v>307</v>
      </c>
      <c r="D58" s="5" t="s">
        <v>308</v>
      </c>
      <c r="E58" s="6" t="s">
        <v>499</v>
      </c>
      <c r="F58" s="14" t="n">
        <v>45514</v>
      </c>
      <c r="G58" s="14" t="n">
        <v>45521</v>
      </c>
      <c r="H58" s="7" t="n">
        <v>200</v>
      </c>
      <c r="I58" s="15" t="n">
        <v>2400</v>
      </c>
      <c r="J58" s="16" t="n">
        <v>0</v>
      </c>
      <c r="K58" s="15" t="n">
        <f aca="false">I58*H58*J58/100</f>
        <v>0</v>
      </c>
      <c r="L58" s="15" t="n">
        <f aca="false">I58*H58-K58</f>
        <v>480000</v>
      </c>
      <c r="M58" s="15" t="n">
        <f aca="false">L58*0.12</f>
        <v>57600</v>
      </c>
      <c r="N58" s="15" t="n">
        <f aca="false">L58+M58</f>
        <v>537600</v>
      </c>
      <c r="O58" s="7" t="s">
        <v>24</v>
      </c>
      <c r="P58" s="7" t="s">
        <v>351</v>
      </c>
      <c r="Q58" s="17" t="s">
        <v>342</v>
      </c>
      <c r="R58" s="6" t="s">
        <v>500</v>
      </c>
    </row>
    <row r="59" customFormat="false" ht="21.75" hidden="false" customHeight="true" outlineLevel="0" collapsed="false">
      <c r="A59" s="9" t="s">
        <v>501</v>
      </c>
      <c r="B59" s="12" t="s">
        <v>157</v>
      </c>
      <c r="C59" s="10" t="s">
        <v>158</v>
      </c>
      <c r="D59" s="10" t="s">
        <v>151</v>
      </c>
      <c r="E59" s="11" t="s">
        <v>502</v>
      </c>
      <c r="F59" s="18" t="n">
        <v>45519</v>
      </c>
      <c r="G59" s="18" t="n">
        <v>45526</v>
      </c>
      <c r="H59" s="12" t="n">
        <v>2</v>
      </c>
      <c r="I59" s="19" t="n">
        <v>385000</v>
      </c>
      <c r="J59" s="20" t="n">
        <v>5</v>
      </c>
      <c r="K59" s="19" t="n">
        <f aca="false">I59*H59*J59/100</f>
        <v>38500</v>
      </c>
      <c r="L59" s="19" t="n">
        <f aca="false">I59*H59-K59</f>
        <v>731500</v>
      </c>
      <c r="M59" s="19" t="n">
        <f aca="false">L59*0.12</f>
        <v>87780</v>
      </c>
      <c r="N59" s="19" t="n">
        <f aca="false">L59+M59</f>
        <v>819280</v>
      </c>
      <c r="O59" s="12" t="s">
        <v>24</v>
      </c>
      <c r="P59" s="12" t="s">
        <v>378</v>
      </c>
      <c r="Q59" s="17" t="s">
        <v>342</v>
      </c>
      <c r="R59" s="11" t="s">
        <v>503</v>
      </c>
    </row>
    <row r="60" customFormat="false" ht="21.75" hidden="false" customHeight="true" outlineLevel="0" collapsed="false">
      <c r="A60" s="4" t="s">
        <v>504</v>
      </c>
      <c r="B60" s="7" t="s">
        <v>185</v>
      </c>
      <c r="C60" s="5" t="s">
        <v>186</v>
      </c>
      <c r="D60" s="5" t="s">
        <v>187</v>
      </c>
      <c r="E60" s="6" t="s">
        <v>505</v>
      </c>
      <c r="F60" s="14" t="n">
        <v>45524</v>
      </c>
      <c r="G60" s="14" t="n">
        <v>45527</v>
      </c>
      <c r="H60" s="7" t="n">
        <v>20</v>
      </c>
      <c r="I60" s="15" t="n">
        <v>8500</v>
      </c>
      <c r="J60" s="16" t="n">
        <v>0</v>
      </c>
      <c r="K60" s="15" t="n">
        <f aca="false">I60*H60*J60/100</f>
        <v>0</v>
      </c>
      <c r="L60" s="15" t="n">
        <f aca="false">I60*H60-K60</f>
        <v>170000</v>
      </c>
      <c r="M60" s="15" t="n">
        <f aca="false">L60*0.12</f>
        <v>20400</v>
      </c>
      <c r="N60" s="15" t="n">
        <f aca="false">L60+M60</f>
        <v>190400</v>
      </c>
      <c r="O60" s="7" t="s">
        <v>24</v>
      </c>
      <c r="P60" s="7" t="s">
        <v>382</v>
      </c>
      <c r="Q60" s="17" t="s">
        <v>342</v>
      </c>
      <c r="R60" s="6" t="s">
        <v>506</v>
      </c>
    </row>
    <row r="61" customFormat="false" ht="21.75" hidden="false" customHeight="true" outlineLevel="0" collapsed="false">
      <c r="A61" s="9" t="s">
        <v>507</v>
      </c>
      <c r="B61" s="12" t="s">
        <v>126</v>
      </c>
      <c r="C61" s="10" t="s">
        <v>127</v>
      </c>
      <c r="D61" s="10" t="s">
        <v>128</v>
      </c>
      <c r="E61" s="11" t="s">
        <v>487</v>
      </c>
      <c r="F61" s="18" t="n">
        <v>45529</v>
      </c>
      <c r="G61" s="18" t="n">
        <v>45532</v>
      </c>
      <c r="H61" s="12" t="n">
        <v>18000</v>
      </c>
      <c r="I61" s="19" t="n">
        <v>71.8</v>
      </c>
      <c r="J61" s="20" t="n">
        <v>0</v>
      </c>
      <c r="K61" s="19" t="n">
        <f aca="false">I61*H61*J61/100</f>
        <v>0</v>
      </c>
      <c r="L61" s="19" t="n">
        <f aca="false">I61*H61-K61</f>
        <v>1292400</v>
      </c>
      <c r="M61" s="19" t="n">
        <f aca="false">L61*0.12</f>
        <v>155088</v>
      </c>
      <c r="N61" s="19" t="n">
        <f aca="false">L61+M61</f>
        <v>1447488</v>
      </c>
      <c r="O61" s="12" t="s">
        <v>134</v>
      </c>
      <c r="P61" s="12" t="s">
        <v>364</v>
      </c>
      <c r="Q61" s="17" t="s">
        <v>342</v>
      </c>
      <c r="R61" s="11" t="s">
        <v>508</v>
      </c>
    </row>
    <row r="62" customFormat="false" ht="21.75" hidden="false" customHeight="true" outlineLevel="0" collapsed="false">
      <c r="A62" s="4" t="s">
        <v>509</v>
      </c>
      <c r="B62" s="7" t="s">
        <v>52</v>
      </c>
      <c r="C62" s="5" t="s">
        <v>53</v>
      </c>
      <c r="D62" s="5" t="s">
        <v>46</v>
      </c>
      <c r="E62" s="6" t="s">
        <v>510</v>
      </c>
      <c r="F62" s="14" t="n">
        <v>45538</v>
      </c>
      <c r="G62" s="14" t="n">
        <v>45552</v>
      </c>
      <c r="H62" s="7" t="n">
        <v>200</v>
      </c>
      <c r="I62" s="15" t="n">
        <v>12500</v>
      </c>
      <c r="J62" s="16" t="n">
        <v>2</v>
      </c>
      <c r="K62" s="15" t="n">
        <f aca="false">I62*H62*J62/100</f>
        <v>50000</v>
      </c>
      <c r="L62" s="15" t="n">
        <f aca="false">I62*H62-K62</f>
        <v>2450000</v>
      </c>
      <c r="M62" s="15" t="n">
        <f aca="false">L62*0.12</f>
        <v>294000</v>
      </c>
      <c r="N62" s="15" t="n">
        <f aca="false">L62+M62</f>
        <v>2744000</v>
      </c>
      <c r="O62" s="7" t="s">
        <v>35</v>
      </c>
      <c r="P62" s="7" t="s">
        <v>341</v>
      </c>
      <c r="Q62" s="17" t="s">
        <v>342</v>
      </c>
      <c r="R62" s="6" t="s">
        <v>511</v>
      </c>
    </row>
    <row r="63" customFormat="false" ht="21.75" hidden="false" customHeight="true" outlineLevel="0" collapsed="false">
      <c r="A63" s="9" t="s">
        <v>512</v>
      </c>
      <c r="B63" s="12" t="s">
        <v>275</v>
      </c>
      <c r="C63" s="10" t="s">
        <v>276</v>
      </c>
      <c r="D63" s="10" t="s">
        <v>269</v>
      </c>
      <c r="E63" s="11" t="s">
        <v>513</v>
      </c>
      <c r="F63" s="18" t="n">
        <v>45540</v>
      </c>
      <c r="G63" s="18" t="n">
        <v>45570</v>
      </c>
      <c r="H63" s="12" t="n">
        <v>1</v>
      </c>
      <c r="I63" s="19" t="n">
        <v>12500000</v>
      </c>
      <c r="J63" s="20" t="n">
        <v>0</v>
      </c>
      <c r="K63" s="19" t="n">
        <f aca="false">I63*H63*J63/100</f>
        <v>0</v>
      </c>
      <c r="L63" s="19" t="n">
        <f aca="false">I63*H63-K63</f>
        <v>12500000</v>
      </c>
      <c r="M63" s="19" t="n">
        <f aca="false">L63*0.12</f>
        <v>1500000</v>
      </c>
      <c r="N63" s="19" t="n">
        <f aca="false">L63+M63</f>
        <v>14000000</v>
      </c>
      <c r="O63" s="12" t="s">
        <v>24</v>
      </c>
      <c r="P63" s="12" t="s">
        <v>405</v>
      </c>
      <c r="Q63" s="17" t="s">
        <v>342</v>
      </c>
      <c r="R63" s="11" t="s">
        <v>514</v>
      </c>
    </row>
    <row r="64" customFormat="false" ht="21.75" hidden="false" customHeight="true" outlineLevel="0" collapsed="false">
      <c r="A64" s="4" t="s">
        <v>515</v>
      </c>
      <c r="B64" s="7" t="s">
        <v>314</v>
      </c>
      <c r="C64" s="5" t="s">
        <v>315</v>
      </c>
      <c r="D64" s="5" t="s">
        <v>316</v>
      </c>
      <c r="E64" s="6" t="s">
        <v>516</v>
      </c>
      <c r="F64" s="14" t="n">
        <v>45543</v>
      </c>
      <c r="G64" s="14" t="n">
        <v>45550</v>
      </c>
      <c r="H64" s="7" t="n">
        <v>200</v>
      </c>
      <c r="I64" s="15" t="n">
        <v>1850</v>
      </c>
      <c r="J64" s="16" t="n">
        <v>0</v>
      </c>
      <c r="K64" s="15" t="n">
        <f aca="false">I64*H64*J64/100</f>
        <v>0</v>
      </c>
      <c r="L64" s="15" t="n">
        <f aca="false">I64*H64-K64</f>
        <v>370000</v>
      </c>
      <c r="M64" s="15" t="n">
        <f aca="false">L64*0.12</f>
        <v>44400</v>
      </c>
      <c r="N64" s="15" t="n">
        <f aca="false">L64+M64</f>
        <v>414400</v>
      </c>
      <c r="O64" s="7" t="s">
        <v>24</v>
      </c>
      <c r="P64" s="7" t="s">
        <v>351</v>
      </c>
      <c r="Q64" s="17" t="s">
        <v>342</v>
      </c>
      <c r="R64" s="6" t="s">
        <v>517</v>
      </c>
    </row>
    <row r="65" customFormat="false" ht="21.75" hidden="false" customHeight="true" outlineLevel="0" collapsed="false">
      <c r="A65" s="9" t="s">
        <v>518</v>
      </c>
      <c r="B65" s="12" t="s">
        <v>314</v>
      </c>
      <c r="C65" s="10" t="s">
        <v>315</v>
      </c>
      <c r="D65" s="10" t="s">
        <v>316</v>
      </c>
      <c r="E65" s="11" t="s">
        <v>519</v>
      </c>
      <c r="F65" s="18" t="n">
        <v>45543</v>
      </c>
      <c r="G65" s="18" t="n">
        <v>45550</v>
      </c>
      <c r="H65" s="12" t="n">
        <v>100</v>
      </c>
      <c r="I65" s="19" t="n">
        <v>3200</v>
      </c>
      <c r="J65" s="20" t="n">
        <v>0</v>
      </c>
      <c r="K65" s="19" t="n">
        <f aca="false">I65*H65*J65/100</f>
        <v>0</v>
      </c>
      <c r="L65" s="19" t="n">
        <f aca="false">I65*H65-K65</f>
        <v>320000</v>
      </c>
      <c r="M65" s="19" t="n">
        <f aca="false">L65*0.12</f>
        <v>38400</v>
      </c>
      <c r="N65" s="19" t="n">
        <f aca="false">L65+M65</f>
        <v>358400</v>
      </c>
      <c r="O65" s="12" t="s">
        <v>24</v>
      </c>
      <c r="P65" s="12" t="s">
        <v>351</v>
      </c>
      <c r="Q65" s="17" t="s">
        <v>342</v>
      </c>
      <c r="R65" s="11" t="s">
        <v>520</v>
      </c>
    </row>
    <row r="66" customFormat="false" ht="21.75" hidden="false" customHeight="true" outlineLevel="0" collapsed="false">
      <c r="A66" s="4" t="s">
        <v>521</v>
      </c>
      <c r="B66" s="7" t="s">
        <v>119</v>
      </c>
      <c r="C66" s="5" t="s">
        <v>120</v>
      </c>
      <c r="D66" s="5" t="s">
        <v>113</v>
      </c>
      <c r="E66" s="6" t="s">
        <v>522</v>
      </c>
      <c r="F66" s="14" t="n">
        <v>45545</v>
      </c>
      <c r="G66" s="14" t="n">
        <v>45552</v>
      </c>
      <c r="H66" s="7" t="n">
        <v>80</v>
      </c>
      <c r="I66" s="15" t="n">
        <v>3500</v>
      </c>
      <c r="J66" s="16" t="n">
        <v>0</v>
      </c>
      <c r="K66" s="15" t="n">
        <f aca="false">I66*H66*J66/100</f>
        <v>0</v>
      </c>
      <c r="L66" s="15" t="n">
        <f aca="false">I66*H66-K66</f>
        <v>280000</v>
      </c>
      <c r="M66" s="15" t="n">
        <f aca="false">L66*0.12</f>
        <v>33600</v>
      </c>
      <c r="N66" s="15" t="n">
        <f aca="false">L66+M66</f>
        <v>313600</v>
      </c>
      <c r="O66" s="7" t="s">
        <v>35</v>
      </c>
      <c r="P66" s="7" t="s">
        <v>358</v>
      </c>
      <c r="Q66" s="17" t="s">
        <v>342</v>
      </c>
      <c r="R66" s="6" t="s">
        <v>523</v>
      </c>
    </row>
    <row r="67" customFormat="false" ht="21.75" hidden="false" customHeight="true" outlineLevel="0" collapsed="false">
      <c r="A67" s="9" t="s">
        <v>524</v>
      </c>
      <c r="B67" s="12" t="s">
        <v>200</v>
      </c>
      <c r="C67" s="10" t="s">
        <v>201</v>
      </c>
      <c r="D67" s="10" t="s">
        <v>202</v>
      </c>
      <c r="E67" s="11" t="s">
        <v>525</v>
      </c>
      <c r="F67" s="18" t="n">
        <v>45550</v>
      </c>
      <c r="G67" s="18" t="n">
        <v>45580</v>
      </c>
      <c r="H67" s="12" t="n">
        <v>1</v>
      </c>
      <c r="I67" s="19" t="n">
        <v>85000</v>
      </c>
      <c r="J67" s="20" t="n">
        <v>0</v>
      </c>
      <c r="K67" s="19" t="n">
        <f aca="false">I67*H67*J67/100</f>
        <v>0</v>
      </c>
      <c r="L67" s="19" t="n">
        <f aca="false">I67*H67-K67</f>
        <v>85000</v>
      </c>
      <c r="M67" s="19" t="n">
        <f aca="false">L67*0.12</f>
        <v>10200</v>
      </c>
      <c r="N67" s="19" t="n">
        <f aca="false">L67+M67</f>
        <v>95200</v>
      </c>
      <c r="O67" s="12" t="s">
        <v>24</v>
      </c>
      <c r="P67" s="12" t="s">
        <v>378</v>
      </c>
      <c r="Q67" s="17" t="s">
        <v>342</v>
      </c>
      <c r="R67" s="11" t="s">
        <v>526</v>
      </c>
    </row>
    <row r="68" customFormat="false" ht="21.75" hidden="false" customHeight="true" outlineLevel="0" collapsed="false">
      <c r="A68" s="4" t="s">
        <v>527</v>
      </c>
      <c r="B68" s="7" t="s">
        <v>126</v>
      </c>
      <c r="C68" s="5" t="s">
        <v>127</v>
      </c>
      <c r="D68" s="5" t="s">
        <v>128</v>
      </c>
      <c r="E68" s="6" t="s">
        <v>487</v>
      </c>
      <c r="F68" s="14" t="n">
        <v>45560</v>
      </c>
      <c r="G68" s="14" t="n">
        <v>45563</v>
      </c>
      <c r="H68" s="7" t="n">
        <v>20000</v>
      </c>
      <c r="I68" s="15" t="n">
        <v>72.1</v>
      </c>
      <c r="J68" s="16" t="n">
        <v>0</v>
      </c>
      <c r="K68" s="15" t="n">
        <f aca="false">I68*H68*J68/100</f>
        <v>0</v>
      </c>
      <c r="L68" s="15" t="n">
        <f aca="false">I68*H68-K68</f>
        <v>1442000</v>
      </c>
      <c r="M68" s="15" t="n">
        <f aca="false">L68*0.12</f>
        <v>173040</v>
      </c>
      <c r="N68" s="15" t="n">
        <f aca="false">L68+M68</f>
        <v>1615040</v>
      </c>
      <c r="O68" s="7" t="s">
        <v>134</v>
      </c>
      <c r="P68" s="7" t="s">
        <v>364</v>
      </c>
      <c r="Q68" s="17" t="s">
        <v>342</v>
      </c>
      <c r="R68" s="6" t="s">
        <v>528</v>
      </c>
    </row>
    <row r="69" customFormat="false" ht="21.75" hidden="false" customHeight="true" outlineLevel="0" collapsed="false">
      <c r="A69" s="9" t="s">
        <v>529</v>
      </c>
      <c r="B69" s="12" t="s">
        <v>16</v>
      </c>
      <c r="C69" s="10" t="s">
        <v>17</v>
      </c>
      <c r="D69" s="10" t="s">
        <v>18</v>
      </c>
      <c r="E69" s="11" t="s">
        <v>530</v>
      </c>
      <c r="F69" s="18" t="n">
        <v>45569</v>
      </c>
      <c r="G69" s="18" t="n">
        <v>45576</v>
      </c>
      <c r="H69" s="12" t="n">
        <v>4000</v>
      </c>
      <c r="I69" s="19" t="n">
        <v>295</v>
      </c>
      <c r="J69" s="20" t="n">
        <v>2</v>
      </c>
      <c r="K69" s="19" t="n">
        <f aca="false">I69*H69*J69/100</f>
        <v>23600</v>
      </c>
      <c r="L69" s="19" t="n">
        <f aca="false">I69*H69-K69</f>
        <v>1156400</v>
      </c>
      <c r="M69" s="19" t="n">
        <f aca="false">L69*0.12</f>
        <v>138768</v>
      </c>
      <c r="N69" s="19" t="n">
        <f aca="false">L69+M69</f>
        <v>1295168</v>
      </c>
      <c r="O69" s="12" t="s">
        <v>24</v>
      </c>
      <c r="P69" s="12" t="s">
        <v>341</v>
      </c>
      <c r="Q69" s="17" t="s">
        <v>342</v>
      </c>
      <c r="R69" s="11" t="s">
        <v>531</v>
      </c>
    </row>
    <row r="70" customFormat="false" ht="21.75" hidden="false" customHeight="true" outlineLevel="0" collapsed="false">
      <c r="A70" s="4" t="s">
        <v>532</v>
      </c>
      <c r="B70" s="7" t="s">
        <v>44</v>
      </c>
      <c r="C70" s="5" t="s">
        <v>45</v>
      </c>
      <c r="D70" s="5" t="s">
        <v>46</v>
      </c>
      <c r="E70" s="6" t="s">
        <v>533</v>
      </c>
      <c r="F70" s="14" t="n">
        <v>45572</v>
      </c>
      <c r="G70" s="14" t="n">
        <v>45586</v>
      </c>
      <c r="H70" s="7" t="n">
        <v>1000</v>
      </c>
      <c r="I70" s="15" t="n">
        <v>1050</v>
      </c>
      <c r="J70" s="16" t="n">
        <v>2</v>
      </c>
      <c r="K70" s="15" t="n">
        <f aca="false">I70*H70*J70/100</f>
        <v>21000</v>
      </c>
      <c r="L70" s="15" t="n">
        <f aca="false">I70*H70-K70</f>
        <v>1029000</v>
      </c>
      <c r="M70" s="15" t="n">
        <f aca="false">L70*0.12</f>
        <v>123480</v>
      </c>
      <c r="N70" s="15" t="n">
        <f aca="false">L70+M70</f>
        <v>1152480</v>
      </c>
      <c r="O70" s="7" t="s">
        <v>24</v>
      </c>
      <c r="P70" s="7" t="s">
        <v>341</v>
      </c>
      <c r="Q70" s="17" t="s">
        <v>342</v>
      </c>
      <c r="R70" s="6" t="s">
        <v>534</v>
      </c>
    </row>
    <row r="71" customFormat="false" ht="21.75" hidden="false" customHeight="true" outlineLevel="0" collapsed="false">
      <c r="A71" s="9" t="s">
        <v>535</v>
      </c>
      <c r="B71" s="12" t="s">
        <v>230</v>
      </c>
      <c r="C71" s="10" t="s">
        <v>231</v>
      </c>
      <c r="D71" s="10" t="s">
        <v>18</v>
      </c>
      <c r="E71" s="11" t="s">
        <v>536</v>
      </c>
      <c r="F71" s="18" t="n">
        <v>45575</v>
      </c>
      <c r="G71" s="18" t="n">
        <v>45585</v>
      </c>
      <c r="H71" s="12" t="n">
        <v>2000</v>
      </c>
      <c r="I71" s="19" t="n">
        <v>305</v>
      </c>
      <c r="J71" s="20" t="n">
        <v>1</v>
      </c>
      <c r="K71" s="19" t="n">
        <f aca="false">I71*H71*J71/100</f>
        <v>6100</v>
      </c>
      <c r="L71" s="19" t="n">
        <f aca="false">I71*H71-K71</f>
        <v>603900</v>
      </c>
      <c r="M71" s="19" t="n">
        <f aca="false">L71*0.12</f>
        <v>72468</v>
      </c>
      <c r="N71" s="19" t="n">
        <f aca="false">L71+M71</f>
        <v>676368</v>
      </c>
      <c r="O71" s="12" t="s">
        <v>24</v>
      </c>
      <c r="P71" s="12" t="s">
        <v>351</v>
      </c>
      <c r="Q71" s="17" t="s">
        <v>342</v>
      </c>
      <c r="R71" s="11" t="s">
        <v>537</v>
      </c>
    </row>
    <row r="72" customFormat="false" ht="21.75" hidden="false" customHeight="true" outlineLevel="0" collapsed="false">
      <c r="A72" s="4" t="s">
        <v>538</v>
      </c>
      <c r="B72" s="7" t="s">
        <v>97</v>
      </c>
      <c r="C72" s="5" t="s">
        <v>98</v>
      </c>
      <c r="D72" s="5" t="s">
        <v>84</v>
      </c>
      <c r="E72" s="6" t="s">
        <v>539</v>
      </c>
      <c r="F72" s="14" t="n">
        <v>45579</v>
      </c>
      <c r="G72" s="14" t="n">
        <v>45593</v>
      </c>
      <c r="H72" s="7" t="n">
        <v>6</v>
      </c>
      <c r="I72" s="15" t="n">
        <v>185000</v>
      </c>
      <c r="J72" s="16" t="n">
        <v>3</v>
      </c>
      <c r="K72" s="15" t="n">
        <f aca="false">I72*H72*J72/100</f>
        <v>33300</v>
      </c>
      <c r="L72" s="15" t="n">
        <f aca="false">I72*H72-K72</f>
        <v>1076700</v>
      </c>
      <c r="M72" s="15" t="n">
        <f aca="false">L72*0.12</f>
        <v>129204</v>
      </c>
      <c r="N72" s="15" t="n">
        <f aca="false">L72+M72</f>
        <v>1205904</v>
      </c>
      <c r="O72" s="7" t="s">
        <v>24</v>
      </c>
      <c r="P72" s="7" t="s">
        <v>341</v>
      </c>
      <c r="Q72" s="17" t="s">
        <v>342</v>
      </c>
      <c r="R72" s="6" t="s">
        <v>540</v>
      </c>
    </row>
    <row r="73" customFormat="false" ht="21.75" hidden="false" customHeight="true" outlineLevel="0" collapsed="false">
      <c r="A73" s="9" t="s">
        <v>541</v>
      </c>
      <c r="B73" s="12" t="s">
        <v>67</v>
      </c>
      <c r="C73" s="10" t="s">
        <v>68</v>
      </c>
      <c r="D73" s="10" t="s">
        <v>69</v>
      </c>
      <c r="E73" s="11" t="s">
        <v>542</v>
      </c>
      <c r="F73" s="18" t="n">
        <v>45582</v>
      </c>
      <c r="G73" s="18" t="n">
        <v>45585</v>
      </c>
      <c r="H73" s="12" t="n">
        <v>20000</v>
      </c>
      <c r="I73" s="19" t="n">
        <v>18</v>
      </c>
      <c r="J73" s="20" t="n">
        <v>0</v>
      </c>
      <c r="K73" s="19" t="n">
        <f aca="false">I73*H73*J73/100</f>
        <v>0</v>
      </c>
      <c r="L73" s="19" t="n">
        <f aca="false">I73*H73-K73</f>
        <v>360000</v>
      </c>
      <c r="M73" s="19" t="n">
        <f aca="false">L73*0.12</f>
        <v>43200</v>
      </c>
      <c r="N73" s="19" t="n">
        <f aca="false">L73+M73</f>
        <v>403200</v>
      </c>
      <c r="O73" s="12" t="s">
        <v>24</v>
      </c>
      <c r="P73" s="12" t="s">
        <v>351</v>
      </c>
      <c r="Q73" s="17" t="s">
        <v>342</v>
      </c>
      <c r="R73" s="11" t="s">
        <v>543</v>
      </c>
    </row>
    <row r="74" customFormat="false" ht="21.75" hidden="false" customHeight="true" outlineLevel="0" collapsed="false">
      <c r="A74" s="4" t="s">
        <v>544</v>
      </c>
      <c r="B74" s="7" t="s">
        <v>67</v>
      </c>
      <c r="C74" s="5" t="s">
        <v>68</v>
      </c>
      <c r="D74" s="5" t="s">
        <v>69</v>
      </c>
      <c r="E74" s="6" t="s">
        <v>545</v>
      </c>
      <c r="F74" s="14" t="n">
        <v>45582</v>
      </c>
      <c r="G74" s="14" t="n">
        <v>45585</v>
      </c>
      <c r="H74" s="7" t="n">
        <v>15000</v>
      </c>
      <c r="I74" s="15" t="n">
        <v>24</v>
      </c>
      <c r="J74" s="16" t="n">
        <v>0</v>
      </c>
      <c r="K74" s="15" t="n">
        <f aca="false">I74*H74*J74/100</f>
        <v>0</v>
      </c>
      <c r="L74" s="15" t="n">
        <f aca="false">I74*H74-K74</f>
        <v>360000</v>
      </c>
      <c r="M74" s="15" t="n">
        <f aca="false">L74*0.12</f>
        <v>43200</v>
      </c>
      <c r="N74" s="15" t="n">
        <f aca="false">L74+M74</f>
        <v>403200</v>
      </c>
      <c r="O74" s="7" t="s">
        <v>24</v>
      </c>
      <c r="P74" s="7" t="s">
        <v>351</v>
      </c>
      <c r="Q74" s="17" t="s">
        <v>342</v>
      </c>
      <c r="R74" s="6" t="s">
        <v>543</v>
      </c>
    </row>
    <row r="75" customFormat="false" ht="21.75" hidden="false" customHeight="true" outlineLevel="0" collapsed="false">
      <c r="A75" s="9" t="s">
        <v>546</v>
      </c>
      <c r="B75" s="12" t="s">
        <v>178</v>
      </c>
      <c r="C75" s="10" t="s">
        <v>179</v>
      </c>
      <c r="D75" s="10" t="s">
        <v>151</v>
      </c>
      <c r="E75" s="11" t="s">
        <v>547</v>
      </c>
      <c r="F75" s="18" t="n">
        <v>45585</v>
      </c>
      <c r="G75" s="18" t="n">
        <v>45592</v>
      </c>
      <c r="H75" s="12" t="n">
        <v>4</v>
      </c>
      <c r="I75" s="19" t="n">
        <v>45000</v>
      </c>
      <c r="J75" s="20" t="n">
        <v>5</v>
      </c>
      <c r="K75" s="19" t="n">
        <f aca="false">I75*H75*J75/100</f>
        <v>9000</v>
      </c>
      <c r="L75" s="19" t="n">
        <f aca="false">I75*H75-K75</f>
        <v>171000</v>
      </c>
      <c r="M75" s="19" t="n">
        <f aca="false">L75*0.12</f>
        <v>20520</v>
      </c>
      <c r="N75" s="19" t="n">
        <f aca="false">L75+M75</f>
        <v>191520</v>
      </c>
      <c r="O75" s="12" t="s">
        <v>24</v>
      </c>
      <c r="P75" s="12" t="s">
        <v>378</v>
      </c>
      <c r="Q75" s="17" t="s">
        <v>342</v>
      </c>
      <c r="R75" s="11" t="s">
        <v>548</v>
      </c>
    </row>
    <row r="76" customFormat="false" ht="21.75" hidden="false" customHeight="true" outlineLevel="0" collapsed="false">
      <c r="A76" s="4" t="s">
        <v>549</v>
      </c>
      <c r="B76" s="7" t="s">
        <v>135</v>
      </c>
      <c r="C76" s="5" t="s">
        <v>136</v>
      </c>
      <c r="D76" s="5" t="s">
        <v>128</v>
      </c>
      <c r="E76" s="6" t="s">
        <v>550</v>
      </c>
      <c r="F76" s="14" t="n">
        <v>45590</v>
      </c>
      <c r="G76" s="14" t="n">
        <v>45593</v>
      </c>
      <c r="H76" s="7" t="n">
        <v>18000</v>
      </c>
      <c r="I76" s="15" t="n">
        <v>73.5</v>
      </c>
      <c r="J76" s="16" t="n">
        <v>0</v>
      </c>
      <c r="K76" s="15" t="n">
        <f aca="false">I76*H76*J76/100</f>
        <v>0</v>
      </c>
      <c r="L76" s="15" t="n">
        <f aca="false">I76*H76-K76</f>
        <v>1323000</v>
      </c>
      <c r="M76" s="15" t="n">
        <f aca="false">L76*0.12</f>
        <v>158760</v>
      </c>
      <c r="N76" s="15" t="n">
        <f aca="false">L76+M76</f>
        <v>1481760</v>
      </c>
      <c r="O76" s="7" t="s">
        <v>134</v>
      </c>
      <c r="P76" s="7" t="s">
        <v>364</v>
      </c>
      <c r="Q76" s="17" t="s">
        <v>342</v>
      </c>
      <c r="R76" s="6" t="s">
        <v>551</v>
      </c>
    </row>
    <row r="77" customFormat="false" ht="21.75" hidden="false" customHeight="true" outlineLevel="0" collapsed="false">
      <c r="A77" s="9" t="s">
        <v>552</v>
      </c>
      <c r="B77" s="12" t="s">
        <v>111</v>
      </c>
      <c r="C77" s="10" t="s">
        <v>112</v>
      </c>
      <c r="D77" s="10" t="s">
        <v>113</v>
      </c>
      <c r="E77" s="11" t="s">
        <v>553</v>
      </c>
      <c r="F77" s="18" t="n">
        <v>45600</v>
      </c>
      <c r="G77" s="18" t="n">
        <v>45607</v>
      </c>
      <c r="H77" s="12" t="n">
        <v>120</v>
      </c>
      <c r="I77" s="19" t="n">
        <v>2850</v>
      </c>
      <c r="J77" s="20" t="n">
        <v>0</v>
      </c>
      <c r="K77" s="19" t="n">
        <f aca="false">I77*H77*J77/100</f>
        <v>0</v>
      </c>
      <c r="L77" s="19" t="n">
        <f aca="false">I77*H77-K77</f>
        <v>342000</v>
      </c>
      <c r="M77" s="19" t="n">
        <f aca="false">L77*0.12</f>
        <v>41040</v>
      </c>
      <c r="N77" s="19" t="n">
        <f aca="false">L77+M77</f>
        <v>383040</v>
      </c>
      <c r="O77" s="12" t="s">
        <v>24</v>
      </c>
      <c r="P77" s="12" t="s">
        <v>358</v>
      </c>
      <c r="Q77" s="17" t="s">
        <v>342</v>
      </c>
      <c r="R77" s="11" t="s">
        <v>554</v>
      </c>
    </row>
    <row r="78" customFormat="false" ht="21.75" hidden="false" customHeight="true" outlineLevel="0" collapsed="false">
      <c r="A78" s="4" t="s">
        <v>555</v>
      </c>
      <c r="B78" s="7" t="s">
        <v>82</v>
      </c>
      <c r="C78" s="5" t="s">
        <v>83</v>
      </c>
      <c r="D78" s="5" t="s">
        <v>84</v>
      </c>
      <c r="E78" s="6" t="s">
        <v>556</v>
      </c>
      <c r="F78" s="14" t="n">
        <v>45603</v>
      </c>
      <c r="G78" s="14" t="n">
        <v>45617</v>
      </c>
      <c r="H78" s="7" t="n">
        <v>300</v>
      </c>
      <c r="I78" s="15" t="n">
        <v>485</v>
      </c>
      <c r="J78" s="16" t="n">
        <v>5</v>
      </c>
      <c r="K78" s="15" t="n">
        <f aca="false">I78*H78*J78/100</f>
        <v>7275</v>
      </c>
      <c r="L78" s="15" t="n">
        <f aca="false">I78*H78-K78</f>
        <v>138225</v>
      </c>
      <c r="M78" s="15" t="n">
        <f aca="false">L78*0.12</f>
        <v>16587</v>
      </c>
      <c r="N78" s="15" t="n">
        <f aca="false">L78+M78</f>
        <v>154812</v>
      </c>
      <c r="O78" s="7" t="s">
        <v>35</v>
      </c>
      <c r="P78" s="7" t="s">
        <v>341</v>
      </c>
      <c r="Q78" s="17" t="s">
        <v>342</v>
      </c>
      <c r="R78" s="6" t="s">
        <v>557</v>
      </c>
    </row>
    <row r="79" customFormat="false" ht="21.75" hidden="false" customHeight="true" outlineLevel="0" collapsed="false">
      <c r="A79" s="9" t="s">
        <v>558</v>
      </c>
      <c r="B79" s="12" t="s">
        <v>237</v>
      </c>
      <c r="C79" s="10" t="s">
        <v>238</v>
      </c>
      <c r="D79" s="10" t="s">
        <v>239</v>
      </c>
      <c r="E79" s="11" t="s">
        <v>559</v>
      </c>
      <c r="F79" s="18" t="n">
        <v>45606</v>
      </c>
      <c r="G79" s="18" t="n">
        <v>45611</v>
      </c>
      <c r="H79" s="12" t="n">
        <v>300</v>
      </c>
      <c r="I79" s="19" t="n">
        <v>650</v>
      </c>
      <c r="J79" s="20" t="n">
        <v>0</v>
      </c>
      <c r="K79" s="19" t="n">
        <f aca="false">I79*H79*J79/100</f>
        <v>0</v>
      </c>
      <c r="L79" s="19" t="n">
        <f aca="false">I79*H79-K79</f>
        <v>195000</v>
      </c>
      <c r="M79" s="19" t="n">
        <f aca="false">L79*0.12</f>
        <v>23400</v>
      </c>
      <c r="N79" s="19" t="n">
        <f aca="false">L79+M79</f>
        <v>218400</v>
      </c>
      <c r="O79" s="12" t="s">
        <v>24</v>
      </c>
      <c r="P79" s="12" t="s">
        <v>351</v>
      </c>
      <c r="Q79" s="17" t="s">
        <v>342</v>
      </c>
      <c r="R79" s="11" t="s">
        <v>560</v>
      </c>
    </row>
    <row r="80" customFormat="false" ht="21.75" hidden="false" customHeight="true" outlineLevel="0" collapsed="false">
      <c r="A80" s="4" t="s">
        <v>561</v>
      </c>
      <c r="B80" s="7" t="s">
        <v>252</v>
      </c>
      <c r="C80" s="5" t="s">
        <v>253</v>
      </c>
      <c r="D80" s="5" t="s">
        <v>239</v>
      </c>
      <c r="E80" s="6" t="s">
        <v>562</v>
      </c>
      <c r="F80" s="14" t="n">
        <v>45608</v>
      </c>
      <c r="G80" s="14" t="n">
        <v>45615</v>
      </c>
      <c r="H80" s="7" t="n">
        <v>400</v>
      </c>
      <c r="I80" s="15" t="n">
        <v>320</v>
      </c>
      <c r="J80" s="16" t="n">
        <v>0</v>
      </c>
      <c r="K80" s="15" t="n">
        <f aca="false">I80*H80*J80/100</f>
        <v>0</v>
      </c>
      <c r="L80" s="15" t="n">
        <f aca="false">I80*H80-K80</f>
        <v>128000</v>
      </c>
      <c r="M80" s="15" t="n">
        <f aca="false">L80*0.12</f>
        <v>15360</v>
      </c>
      <c r="N80" s="15" t="n">
        <f aca="false">L80+M80</f>
        <v>143360</v>
      </c>
      <c r="O80" s="7" t="s">
        <v>24</v>
      </c>
      <c r="P80" s="7" t="s">
        <v>351</v>
      </c>
      <c r="Q80" s="17" t="s">
        <v>342</v>
      </c>
      <c r="R80" s="6" t="s">
        <v>563</v>
      </c>
    </row>
    <row r="81" customFormat="false" ht="21.75" hidden="false" customHeight="true" outlineLevel="0" collapsed="false">
      <c r="A81" s="9" t="s">
        <v>564</v>
      </c>
      <c r="B81" s="12" t="s">
        <v>282</v>
      </c>
      <c r="C81" s="10" t="s">
        <v>283</v>
      </c>
      <c r="D81" s="10" t="s">
        <v>269</v>
      </c>
      <c r="E81" s="11" t="s">
        <v>565</v>
      </c>
      <c r="F81" s="18" t="n">
        <v>45611</v>
      </c>
      <c r="G81" s="18" t="n">
        <v>45641</v>
      </c>
      <c r="H81" s="12" t="n">
        <v>1</v>
      </c>
      <c r="I81" s="19" t="n">
        <v>8500000</v>
      </c>
      <c r="J81" s="20" t="n">
        <v>0</v>
      </c>
      <c r="K81" s="19" t="n">
        <f aca="false">I81*H81*J81/100</f>
        <v>0</v>
      </c>
      <c r="L81" s="19" t="n">
        <f aca="false">I81*H81-K81</f>
        <v>8500000</v>
      </c>
      <c r="M81" s="19" t="n">
        <f aca="false">L81*0.12</f>
        <v>1020000</v>
      </c>
      <c r="N81" s="19" t="n">
        <f aca="false">L81+M81</f>
        <v>9520000</v>
      </c>
      <c r="O81" s="12" t="s">
        <v>24</v>
      </c>
      <c r="P81" s="12" t="s">
        <v>405</v>
      </c>
      <c r="Q81" s="17" t="s">
        <v>342</v>
      </c>
      <c r="R81" s="11" t="s">
        <v>566</v>
      </c>
    </row>
    <row r="82" customFormat="false" ht="21.75" hidden="false" customHeight="true" outlineLevel="0" collapsed="false">
      <c r="A82" s="4" t="s">
        <v>567</v>
      </c>
      <c r="B82" s="7" t="s">
        <v>126</v>
      </c>
      <c r="C82" s="5" t="s">
        <v>127</v>
      </c>
      <c r="D82" s="5" t="s">
        <v>128</v>
      </c>
      <c r="E82" s="6" t="s">
        <v>487</v>
      </c>
      <c r="F82" s="14" t="n">
        <v>45621</v>
      </c>
      <c r="G82" s="14" t="n">
        <v>45624</v>
      </c>
      <c r="H82" s="7" t="n">
        <v>20000</v>
      </c>
      <c r="I82" s="15" t="n">
        <v>73.8</v>
      </c>
      <c r="J82" s="16" t="n">
        <v>0</v>
      </c>
      <c r="K82" s="15" t="n">
        <f aca="false">I82*H82*J82/100</f>
        <v>0</v>
      </c>
      <c r="L82" s="15" t="n">
        <f aca="false">I82*H82-K82</f>
        <v>1476000</v>
      </c>
      <c r="M82" s="15" t="n">
        <f aca="false">L82*0.12</f>
        <v>177120</v>
      </c>
      <c r="N82" s="15" t="n">
        <f aca="false">L82+M82</f>
        <v>1653120</v>
      </c>
      <c r="O82" s="7" t="s">
        <v>134</v>
      </c>
      <c r="P82" s="7" t="s">
        <v>364</v>
      </c>
      <c r="Q82" s="17" t="s">
        <v>342</v>
      </c>
      <c r="R82" s="6" t="s">
        <v>568</v>
      </c>
    </row>
    <row r="83" customFormat="false" ht="21.75" hidden="false" customHeight="true" outlineLevel="0" collapsed="false">
      <c r="A83" s="9" t="s">
        <v>569</v>
      </c>
      <c r="B83" s="12" t="s">
        <v>185</v>
      </c>
      <c r="C83" s="10" t="s">
        <v>186</v>
      </c>
      <c r="D83" s="10" t="s">
        <v>187</v>
      </c>
      <c r="E83" s="11" t="s">
        <v>570</v>
      </c>
      <c r="F83" s="18" t="n">
        <v>45623</v>
      </c>
      <c r="G83" s="18" t="n">
        <v>45626</v>
      </c>
      <c r="H83" s="12" t="n">
        <v>20</v>
      </c>
      <c r="I83" s="19" t="n">
        <v>8500</v>
      </c>
      <c r="J83" s="20" t="n">
        <v>5</v>
      </c>
      <c r="K83" s="19" t="n">
        <f aca="false">I83*H83*J83/100</f>
        <v>8500</v>
      </c>
      <c r="L83" s="19" t="n">
        <f aca="false">I83*H83-K83</f>
        <v>161500</v>
      </c>
      <c r="M83" s="19" t="n">
        <f aca="false">L83*0.12</f>
        <v>19380</v>
      </c>
      <c r="N83" s="19" t="n">
        <f aca="false">L83+M83</f>
        <v>180880</v>
      </c>
      <c r="O83" s="12" t="s">
        <v>24</v>
      </c>
      <c r="P83" s="12" t="s">
        <v>364</v>
      </c>
      <c r="Q83" s="17" t="s">
        <v>342</v>
      </c>
      <c r="R83" s="11" t="s">
        <v>571</v>
      </c>
    </row>
    <row r="84" customFormat="false" ht="21.75" hidden="false" customHeight="true" outlineLevel="0" collapsed="false">
      <c r="A84" s="4" t="s">
        <v>572</v>
      </c>
      <c r="B84" s="7" t="s">
        <v>16</v>
      </c>
      <c r="C84" s="5" t="s">
        <v>17</v>
      </c>
      <c r="D84" s="5" t="s">
        <v>18</v>
      </c>
      <c r="E84" s="6" t="s">
        <v>340</v>
      </c>
      <c r="F84" s="14" t="n">
        <v>45629</v>
      </c>
      <c r="G84" s="14" t="n">
        <v>45636</v>
      </c>
      <c r="H84" s="7" t="n">
        <v>5000</v>
      </c>
      <c r="I84" s="15" t="n">
        <v>298</v>
      </c>
      <c r="J84" s="16" t="n">
        <v>2</v>
      </c>
      <c r="K84" s="15" t="n">
        <f aca="false">I84*H84*J84/100</f>
        <v>29800</v>
      </c>
      <c r="L84" s="15" t="n">
        <f aca="false">I84*H84-K84</f>
        <v>1460200</v>
      </c>
      <c r="M84" s="15" t="n">
        <f aca="false">L84*0.12</f>
        <v>175224</v>
      </c>
      <c r="N84" s="15" t="n">
        <f aca="false">L84+M84</f>
        <v>1635424</v>
      </c>
      <c r="O84" s="7" t="s">
        <v>24</v>
      </c>
      <c r="P84" s="7" t="s">
        <v>341</v>
      </c>
      <c r="Q84" s="17" t="s">
        <v>342</v>
      </c>
      <c r="R84" s="6" t="s">
        <v>573</v>
      </c>
    </row>
    <row r="85" customFormat="false" ht="21.75" hidden="false" customHeight="true" outlineLevel="0" collapsed="false">
      <c r="A85" s="9" t="s">
        <v>574</v>
      </c>
      <c r="B85" s="12" t="s">
        <v>149</v>
      </c>
      <c r="C85" s="10" t="s">
        <v>150</v>
      </c>
      <c r="D85" s="10" t="s">
        <v>151</v>
      </c>
      <c r="E85" s="11" t="s">
        <v>575</v>
      </c>
      <c r="F85" s="18" t="n">
        <v>45631</v>
      </c>
      <c r="G85" s="18" t="n">
        <v>45638</v>
      </c>
      <c r="H85" s="12" t="n">
        <v>10</v>
      </c>
      <c r="I85" s="19" t="n">
        <v>95000</v>
      </c>
      <c r="J85" s="20" t="n">
        <v>5</v>
      </c>
      <c r="K85" s="19" t="n">
        <f aca="false">I85*H85*J85/100</f>
        <v>47500</v>
      </c>
      <c r="L85" s="19" t="n">
        <f aca="false">I85*H85-K85</f>
        <v>902500</v>
      </c>
      <c r="M85" s="19" t="n">
        <f aca="false">L85*0.12</f>
        <v>108300</v>
      </c>
      <c r="N85" s="19" t="n">
        <f aca="false">L85+M85</f>
        <v>1010800</v>
      </c>
      <c r="O85" s="12" t="s">
        <v>24</v>
      </c>
      <c r="P85" s="12" t="s">
        <v>378</v>
      </c>
      <c r="Q85" s="17" t="s">
        <v>342</v>
      </c>
      <c r="R85" s="11" t="s">
        <v>576</v>
      </c>
    </row>
    <row r="86" customFormat="false" ht="21.75" hidden="false" customHeight="true" outlineLevel="0" collapsed="false">
      <c r="A86" s="4" t="s">
        <v>577</v>
      </c>
      <c r="B86" s="7" t="s">
        <v>306</v>
      </c>
      <c r="C86" s="5" t="s">
        <v>307</v>
      </c>
      <c r="D86" s="5" t="s">
        <v>308</v>
      </c>
      <c r="E86" s="6" t="s">
        <v>369</v>
      </c>
      <c r="F86" s="14" t="n">
        <v>45633</v>
      </c>
      <c r="G86" s="14" t="n">
        <v>45640</v>
      </c>
      <c r="H86" s="7" t="n">
        <v>400</v>
      </c>
      <c r="I86" s="15" t="n">
        <v>1850</v>
      </c>
      <c r="J86" s="16" t="n">
        <v>0</v>
      </c>
      <c r="K86" s="15" t="n">
        <f aca="false">I86*H86*J86/100</f>
        <v>0</v>
      </c>
      <c r="L86" s="15" t="n">
        <f aca="false">I86*H86-K86</f>
        <v>740000</v>
      </c>
      <c r="M86" s="15" t="n">
        <f aca="false">L86*0.12</f>
        <v>88800</v>
      </c>
      <c r="N86" s="15" t="n">
        <f aca="false">L86+M86</f>
        <v>828800</v>
      </c>
      <c r="O86" s="7" t="s">
        <v>24</v>
      </c>
      <c r="P86" s="7" t="s">
        <v>351</v>
      </c>
      <c r="Q86" s="17" t="s">
        <v>342</v>
      </c>
      <c r="R86" s="6" t="s">
        <v>578</v>
      </c>
    </row>
    <row r="87" customFormat="false" ht="21.75" hidden="false" customHeight="true" outlineLevel="0" collapsed="false">
      <c r="A87" s="9" t="s">
        <v>579</v>
      </c>
      <c r="B87" s="12" t="s">
        <v>208</v>
      </c>
      <c r="C87" s="10" t="s">
        <v>209</v>
      </c>
      <c r="D87" s="10" t="s">
        <v>202</v>
      </c>
      <c r="E87" s="11" t="s">
        <v>580</v>
      </c>
      <c r="F87" s="18" t="n">
        <v>45636</v>
      </c>
      <c r="G87" s="18" t="n">
        <v>45667</v>
      </c>
      <c r="H87" s="12" t="n">
        <v>1</v>
      </c>
      <c r="I87" s="19" t="n">
        <v>125000</v>
      </c>
      <c r="J87" s="20" t="n">
        <v>0</v>
      </c>
      <c r="K87" s="19" t="n">
        <f aca="false">I87*H87*J87/100</f>
        <v>0</v>
      </c>
      <c r="L87" s="19" t="n">
        <f aca="false">I87*H87-K87</f>
        <v>125000</v>
      </c>
      <c r="M87" s="19" t="n">
        <f aca="false">L87*0.12</f>
        <v>15000</v>
      </c>
      <c r="N87" s="19" t="n">
        <f aca="false">L87+M87</f>
        <v>140000</v>
      </c>
      <c r="O87" s="12" t="s">
        <v>24</v>
      </c>
      <c r="P87" s="12" t="s">
        <v>364</v>
      </c>
      <c r="Q87" s="17" t="s">
        <v>342</v>
      </c>
      <c r="R87" s="11" t="s">
        <v>581</v>
      </c>
    </row>
    <row r="88" customFormat="false" ht="21.75" hidden="false" customHeight="true" outlineLevel="0" collapsed="false">
      <c r="A88" s="4" t="s">
        <v>582</v>
      </c>
      <c r="B88" s="7" t="s">
        <v>135</v>
      </c>
      <c r="C88" s="5" t="s">
        <v>136</v>
      </c>
      <c r="D88" s="5" t="s">
        <v>128</v>
      </c>
      <c r="E88" s="6" t="s">
        <v>487</v>
      </c>
      <c r="F88" s="14" t="n">
        <v>45649</v>
      </c>
      <c r="G88" s="14" t="n">
        <v>45652</v>
      </c>
      <c r="H88" s="7" t="n">
        <v>22000</v>
      </c>
      <c r="I88" s="15" t="n">
        <v>74.2</v>
      </c>
      <c r="J88" s="16" t="n">
        <v>0</v>
      </c>
      <c r="K88" s="15" t="n">
        <f aca="false">I88*H88*J88/100</f>
        <v>0</v>
      </c>
      <c r="L88" s="15" t="n">
        <f aca="false">I88*H88-K88</f>
        <v>1632400</v>
      </c>
      <c r="M88" s="15" t="n">
        <f aca="false">L88*0.12</f>
        <v>195888</v>
      </c>
      <c r="N88" s="15" t="n">
        <f aca="false">L88+M88</f>
        <v>1828288</v>
      </c>
      <c r="O88" s="7" t="s">
        <v>134</v>
      </c>
      <c r="P88" s="7" t="s">
        <v>364</v>
      </c>
      <c r="Q88" s="17" t="s">
        <v>342</v>
      </c>
      <c r="R88" s="6" t="s">
        <v>583</v>
      </c>
    </row>
    <row r="89" customFormat="false" ht="21.75" hidden="false" customHeight="true" outlineLevel="0" collapsed="false">
      <c r="A89" s="9" t="s">
        <v>584</v>
      </c>
      <c r="B89" s="12" t="s">
        <v>16</v>
      </c>
      <c r="C89" s="10" t="s">
        <v>17</v>
      </c>
      <c r="D89" s="10" t="s">
        <v>18</v>
      </c>
      <c r="E89" s="11" t="s">
        <v>585</v>
      </c>
      <c r="F89" s="18" t="n">
        <v>45663</v>
      </c>
      <c r="G89" s="18" t="n">
        <v>45670</v>
      </c>
      <c r="H89" s="12" t="n">
        <v>4500</v>
      </c>
      <c r="I89" s="19" t="n">
        <v>302</v>
      </c>
      <c r="J89" s="20" t="n">
        <v>2</v>
      </c>
      <c r="K89" s="19" t="n">
        <f aca="false">I89*H89*J89/100</f>
        <v>27180</v>
      </c>
      <c r="L89" s="19" t="n">
        <f aca="false">I89*H89-K89</f>
        <v>1331820</v>
      </c>
      <c r="M89" s="19" t="n">
        <f aca="false">L89*0.12</f>
        <v>159818.4</v>
      </c>
      <c r="N89" s="19" t="n">
        <f aca="false">L89+M89</f>
        <v>1491638.4</v>
      </c>
      <c r="O89" s="12" t="s">
        <v>24</v>
      </c>
      <c r="P89" s="12" t="s">
        <v>341</v>
      </c>
      <c r="Q89" s="17" t="s">
        <v>342</v>
      </c>
      <c r="R89" s="11" t="s">
        <v>586</v>
      </c>
    </row>
    <row r="90" customFormat="false" ht="21.75" hidden="false" customHeight="true" outlineLevel="0" collapsed="false">
      <c r="A90" s="4" t="s">
        <v>587</v>
      </c>
      <c r="B90" s="7" t="s">
        <v>44</v>
      </c>
      <c r="C90" s="5" t="s">
        <v>45</v>
      </c>
      <c r="D90" s="5" t="s">
        <v>46</v>
      </c>
      <c r="E90" s="6" t="s">
        <v>588</v>
      </c>
      <c r="F90" s="14" t="n">
        <v>45665</v>
      </c>
      <c r="G90" s="14" t="n">
        <v>45679</v>
      </c>
      <c r="H90" s="7" t="n">
        <v>800</v>
      </c>
      <c r="I90" s="15" t="n">
        <v>1650</v>
      </c>
      <c r="J90" s="16" t="n">
        <v>2</v>
      </c>
      <c r="K90" s="15" t="n">
        <f aca="false">I90*H90*J90/100</f>
        <v>26400</v>
      </c>
      <c r="L90" s="15" t="n">
        <f aca="false">I90*H90-K90</f>
        <v>1293600</v>
      </c>
      <c r="M90" s="15" t="n">
        <f aca="false">L90*0.12</f>
        <v>155232</v>
      </c>
      <c r="N90" s="15" t="n">
        <f aca="false">L90+M90</f>
        <v>1448832</v>
      </c>
      <c r="O90" s="7" t="s">
        <v>24</v>
      </c>
      <c r="P90" s="7" t="s">
        <v>341</v>
      </c>
      <c r="Q90" s="17" t="s">
        <v>342</v>
      </c>
      <c r="R90" s="6" t="s">
        <v>589</v>
      </c>
    </row>
    <row r="91" customFormat="false" ht="21.75" hidden="false" customHeight="true" outlineLevel="0" collapsed="false">
      <c r="A91" s="9" t="s">
        <v>590</v>
      </c>
      <c r="B91" s="12" t="s">
        <v>111</v>
      </c>
      <c r="C91" s="10" t="s">
        <v>112</v>
      </c>
      <c r="D91" s="10" t="s">
        <v>113</v>
      </c>
      <c r="E91" s="11" t="s">
        <v>591</v>
      </c>
      <c r="F91" s="18" t="n">
        <v>45667</v>
      </c>
      <c r="G91" s="18" t="n">
        <v>45674</v>
      </c>
      <c r="H91" s="12" t="n">
        <v>100</v>
      </c>
      <c r="I91" s="19" t="n">
        <v>1850</v>
      </c>
      <c r="J91" s="20" t="n">
        <v>0</v>
      </c>
      <c r="K91" s="19" t="n">
        <f aca="false">I91*H91*J91/100</f>
        <v>0</v>
      </c>
      <c r="L91" s="19" t="n">
        <f aca="false">I91*H91-K91</f>
        <v>185000</v>
      </c>
      <c r="M91" s="19" t="n">
        <f aca="false">L91*0.12</f>
        <v>22200</v>
      </c>
      <c r="N91" s="19" t="n">
        <f aca="false">L91+M91</f>
        <v>207200</v>
      </c>
      <c r="O91" s="12" t="s">
        <v>24</v>
      </c>
      <c r="P91" s="12" t="s">
        <v>358</v>
      </c>
      <c r="Q91" s="17" t="s">
        <v>342</v>
      </c>
      <c r="R91" s="11" t="s">
        <v>592</v>
      </c>
    </row>
    <row r="92" customFormat="false" ht="21.75" hidden="false" customHeight="true" outlineLevel="0" collapsed="false">
      <c r="A92" s="4" t="s">
        <v>593</v>
      </c>
      <c r="B92" s="7" t="s">
        <v>82</v>
      </c>
      <c r="C92" s="5" t="s">
        <v>83</v>
      </c>
      <c r="D92" s="5" t="s">
        <v>84</v>
      </c>
      <c r="E92" s="6" t="s">
        <v>594</v>
      </c>
      <c r="F92" s="14" t="n">
        <v>45672</v>
      </c>
      <c r="G92" s="14" t="n">
        <v>45686</v>
      </c>
      <c r="H92" s="7" t="n">
        <v>2</v>
      </c>
      <c r="I92" s="15" t="n">
        <v>385000</v>
      </c>
      <c r="J92" s="16" t="n">
        <v>5</v>
      </c>
      <c r="K92" s="15" t="n">
        <f aca="false">I92*H92*J92/100</f>
        <v>38500</v>
      </c>
      <c r="L92" s="15" t="n">
        <f aca="false">I92*H92-K92</f>
        <v>731500</v>
      </c>
      <c r="M92" s="15" t="n">
        <f aca="false">L92*0.12</f>
        <v>87780</v>
      </c>
      <c r="N92" s="15" t="n">
        <f aca="false">L92+M92</f>
        <v>819280</v>
      </c>
      <c r="O92" s="7" t="s">
        <v>35</v>
      </c>
      <c r="P92" s="7" t="s">
        <v>341</v>
      </c>
      <c r="Q92" s="17" t="s">
        <v>342</v>
      </c>
      <c r="R92" s="6" t="s">
        <v>595</v>
      </c>
    </row>
    <row r="93" customFormat="false" ht="21.75" hidden="false" customHeight="true" outlineLevel="0" collapsed="false">
      <c r="A93" s="9" t="s">
        <v>596</v>
      </c>
      <c r="B93" s="12" t="s">
        <v>126</v>
      </c>
      <c r="C93" s="10" t="s">
        <v>127</v>
      </c>
      <c r="D93" s="10" t="s">
        <v>128</v>
      </c>
      <c r="E93" s="11" t="s">
        <v>487</v>
      </c>
      <c r="F93" s="18" t="n">
        <v>45680</v>
      </c>
      <c r="G93" s="18" t="n">
        <v>45683</v>
      </c>
      <c r="H93" s="12" t="n">
        <v>20000</v>
      </c>
      <c r="I93" s="19" t="n">
        <v>74.8</v>
      </c>
      <c r="J93" s="20" t="n">
        <v>0</v>
      </c>
      <c r="K93" s="19" t="n">
        <f aca="false">I93*H93*J93/100</f>
        <v>0</v>
      </c>
      <c r="L93" s="19" t="n">
        <f aca="false">I93*H93-K93</f>
        <v>1496000</v>
      </c>
      <c r="M93" s="19" t="n">
        <f aca="false">L93*0.12</f>
        <v>179520</v>
      </c>
      <c r="N93" s="19" t="n">
        <f aca="false">L93+M93</f>
        <v>1675520</v>
      </c>
      <c r="O93" s="12" t="s">
        <v>134</v>
      </c>
      <c r="P93" s="12" t="s">
        <v>364</v>
      </c>
      <c r="Q93" s="17" t="s">
        <v>342</v>
      </c>
      <c r="R93" s="11" t="s">
        <v>597</v>
      </c>
    </row>
    <row r="94" customFormat="false" ht="21.75" hidden="false" customHeight="true" outlineLevel="0" collapsed="false">
      <c r="A94" s="4" t="s">
        <v>598</v>
      </c>
      <c r="B94" s="7" t="s">
        <v>185</v>
      </c>
      <c r="C94" s="5" t="s">
        <v>186</v>
      </c>
      <c r="D94" s="5" t="s">
        <v>187</v>
      </c>
      <c r="E94" s="6" t="s">
        <v>381</v>
      </c>
      <c r="F94" s="14" t="n">
        <v>45684</v>
      </c>
      <c r="G94" s="14" t="n">
        <v>45687</v>
      </c>
      <c r="H94" s="7" t="n">
        <v>300</v>
      </c>
      <c r="I94" s="15" t="n">
        <v>278</v>
      </c>
      <c r="J94" s="16" t="n">
        <v>0</v>
      </c>
      <c r="K94" s="15" t="n">
        <f aca="false">I94*H94*J94/100</f>
        <v>0</v>
      </c>
      <c r="L94" s="15" t="n">
        <f aca="false">I94*H94-K94</f>
        <v>83400</v>
      </c>
      <c r="M94" s="15" t="n">
        <f aca="false">L94*0.12</f>
        <v>10008</v>
      </c>
      <c r="N94" s="15" t="n">
        <f aca="false">L94+M94</f>
        <v>93408</v>
      </c>
      <c r="O94" s="7" t="s">
        <v>24</v>
      </c>
      <c r="P94" s="7" t="s">
        <v>382</v>
      </c>
      <c r="Q94" s="17" t="s">
        <v>342</v>
      </c>
      <c r="R94" s="6" t="s">
        <v>599</v>
      </c>
    </row>
    <row r="95" customFormat="false" ht="21.75" hidden="false" customHeight="true" outlineLevel="0" collapsed="false">
      <c r="A95" s="9" t="s">
        <v>600</v>
      </c>
      <c r="B95" s="12" t="s">
        <v>37</v>
      </c>
      <c r="C95" s="10" t="s">
        <v>38</v>
      </c>
      <c r="D95" s="10" t="s">
        <v>18</v>
      </c>
      <c r="E95" s="11" t="s">
        <v>601</v>
      </c>
      <c r="F95" s="18" t="n">
        <v>45692</v>
      </c>
      <c r="G95" s="18" t="n">
        <v>45699</v>
      </c>
      <c r="H95" s="12" t="n">
        <v>3000</v>
      </c>
      <c r="I95" s="19" t="n">
        <v>298</v>
      </c>
      <c r="J95" s="20" t="n">
        <v>2</v>
      </c>
      <c r="K95" s="19" t="n">
        <f aca="false">I95*H95*J95/100</f>
        <v>17880</v>
      </c>
      <c r="L95" s="19" t="n">
        <f aca="false">I95*H95-K95</f>
        <v>876120</v>
      </c>
      <c r="M95" s="19" t="n">
        <f aca="false">L95*0.12</f>
        <v>105134.4</v>
      </c>
      <c r="N95" s="19" t="n">
        <f aca="false">L95+M95</f>
        <v>981254.4</v>
      </c>
      <c r="O95" s="12" t="s">
        <v>24</v>
      </c>
      <c r="P95" s="12" t="s">
        <v>341</v>
      </c>
      <c r="Q95" s="17" t="s">
        <v>342</v>
      </c>
      <c r="R95" s="11" t="s">
        <v>602</v>
      </c>
    </row>
    <row r="96" customFormat="false" ht="21.75" hidden="false" customHeight="true" outlineLevel="0" collapsed="false">
      <c r="A96" s="4" t="s">
        <v>603</v>
      </c>
      <c r="B96" s="7" t="s">
        <v>306</v>
      </c>
      <c r="C96" s="5" t="s">
        <v>307</v>
      </c>
      <c r="D96" s="5" t="s">
        <v>308</v>
      </c>
      <c r="E96" s="6" t="s">
        <v>372</v>
      </c>
      <c r="F96" s="14" t="n">
        <v>45694</v>
      </c>
      <c r="G96" s="14" t="n">
        <v>45701</v>
      </c>
      <c r="H96" s="7" t="n">
        <v>300</v>
      </c>
      <c r="I96" s="15" t="n">
        <v>2250</v>
      </c>
      <c r="J96" s="16" t="n">
        <v>0</v>
      </c>
      <c r="K96" s="15" t="n">
        <f aca="false">I96*H96*J96/100</f>
        <v>0</v>
      </c>
      <c r="L96" s="15" t="n">
        <f aca="false">I96*H96-K96</f>
        <v>675000</v>
      </c>
      <c r="M96" s="15" t="n">
        <f aca="false">L96*0.12</f>
        <v>81000</v>
      </c>
      <c r="N96" s="15" t="n">
        <f aca="false">L96+M96</f>
        <v>756000</v>
      </c>
      <c r="O96" s="7" t="s">
        <v>24</v>
      </c>
      <c r="P96" s="7" t="s">
        <v>351</v>
      </c>
      <c r="Q96" s="17" t="s">
        <v>342</v>
      </c>
      <c r="R96" s="6" t="s">
        <v>604</v>
      </c>
    </row>
    <row r="97" customFormat="false" ht="21.75" hidden="false" customHeight="true" outlineLevel="0" collapsed="false">
      <c r="A97" s="9" t="s">
        <v>605</v>
      </c>
      <c r="B97" s="12" t="s">
        <v>97</v>
      </c>
      <c r="C97" s="10" t="s">
        <v>98</v>
      </c>
      <c r="D97" s="10" t="s">
        <v>84</v>
      </c>
      <c r="E97" s="11" t="s">
        <v>606</v>
      </c>
      <c r="F97" s="18" t="n">
        <v>45698</v>
      </c>
      <c r="G97" s="18" t="n">
        <v>45712</v>
      </c>
      <c r="H97" s="12" t="n">
        <v>3</v>
      </c>
      <c r="I97" s="19" t="n">
        <v>485000</v>
      </c>
      <c r="J97" s="20" t="n">
        <v>3</v>
      </c>
      <c r="K97" s="19" t="n">
        <f aca="false">I97*H97*J97/100</f>
        <v>43650</v>
      </c>
      <c r="L97" s="19" t="n">
        <f aca="false">I97*H97-K97</f>
        <v>1411350</v>
      </c>
      <c r="M97" s="19" t="n">
        <f aca="false">L97*0.12</f>
        <v>169362</v>
      </c>
      <c r="N97" s="19" t="n">
        <f aca="false">L97+M97</f>
        <v>1580712</v>
      </c>
      <c r="O97" s="12" t="s">
        <v>24</v>
      </c>
      <c r="P97" s="12" t="s">
        <v>341</v>
      </c>
      <c r="Q97" s="17" t="s">
        <v>342</v>
      </c>
      <c r="R97" s="11" t="s">
        <v>607</v>
      </c>
    </row>
    <row r="98" customFormat="false" ht="21.75" hidden="false" customHeight="true" outlineLevel="0" collapsed="false">
      <c r="A98" s="4" t="s">
        <v>608</v>
      </c>
      <c r="B98" s="7" t="s">
        <v>289</v>
      </c>
      <c r="C98" s="5" t="s">
        <v>290</v>
      </c>
      <c r="D98" s="5" t="s">
        <v>291</v>
      </c>
      <c r="E98" s="6" t="s">
        <v>609</v>
      </c>
      <c r="F98" s="14" t="n">
        <v>45702</v>
      </c>
      <c r="G98" s="14" t="n">
        <v>45730</v>
      </c>
      <c r="H98" s="7" t="n">
        <v>1</v>
      </c>
      <c r="I98" s="15" t="n">
        <v>12500000</v>
      </c>
      <c r="J98" s="16" t="n">
        <v>0</v>
      </c>
      <c r="K98" s="15" t="n">
        <f aca="false">I98*H98*J98/100</f>
        <v>0</v>
      </c>
      <c r="L98" s="15" t="n">
        <f aca="false">I98*H98-K98</f>
        <v>12500000</v>
      </c>
      <c r="M98" s="15" t="n">
        <f aca="false">L98*0.12</f>
        <v>1500000</v>
      </c>
      <c r="N98" s="15" t="n">
        <f aca="false">L98+M98</f>
        <v>14000000</v>
      </c>
      <c r="O98" s="7" t="s">
        <v>35</v>
      </c>
      <c r="P98" s="7" t="s">
        <v>405</v>
      </c>
      <c r="Q98" s="17" t="s">
        <v>342</v>
      </c>
      <c r="R98" s="6" t="s">
        <v>610</v>
      </c>
    </row>
    <row r="99" customFormat="false" ht="21.75" hidden="false" customHeight="true" outlineLevel="0" collapsed="false">
      <c r="A99" s="9" t="s">
        <v>611</v>
      </c>
      <c r="B99" s="12" t="s">
        <v>52</v>
      </c>
      <c r="C99" s="10" t="s">
        <v>53</v>
      </c>
      <c r="D99" s="10" t="s">
        <v>46</v>
      </c>
      <c r="E99" s="11" t="s">
        <v>612</v>
      </c>
      <c r="F99" s="18" t="n">
        <v>45706</v>
      </c>
      <c r="G99" s="18" t="n">
        <v>45720</v>
      </c>
      <c r="H99" s="12" t="n">
        <v>300</v>
      </c>
      <c r="I99" s="19" t="n">
        <v>18500</v>
      </c>
      <c r="J99" s="20" t="n">
        <v>2</v>
      </c>
      <c r="K99" s="19" t="n">
        <f aca="false">I99*H99*J99/100</f>
        <v>111000</v>
      </c>
      <c r="L99" s="19" t="n">
        <f aca="false">I99*H99-K99</f>
        <v>5439000</v>
      </c>
      <c r="M99" s="19" t="n">
        <f aca="false">L99*0.12</f>
        <v>652680</v>
      </c>
      <c r="N99" s="19" t="n">
        <f aca="false">L99+M99</f>
        <v>6091680</v>
      </c>
      <c r="O99" s="12" t="s">
        <v>35</v>
      </c>
      <c r="P99" s="12" t="s">
        <v>341</v>
      </c>
      <c r="Q99" s="17" t="s">
        <v>342</v>
      </c>
      <c r="R99" s="11" t="s">
        <v>613</v>
      </c>
    </row>
    <row r="100" customFormat="false" ht="21.75" hidden="false" customHeight="true" outlineLevel="0" collapsed="false">
      <c r="A100" s="4" t="s">
        <v>614</v>
      </c>
      <c r="B100" s="7" t="s">
        <v>135</v>
      </c>
      <c r="C100" s="5" t="s">
        <v>136</v>
      </c>
      <c r="D100" s="5" t="s">
        <v>128</v>
      </c>
      <c r="E100" s="6" t="s">
        <v>487</v>
      </c>
      <c r="F100" s="14" t="n">
        <v>45712</v>
      </c>
      <c r="G100" s="14" t="n">
        <v>45715</v>
      </c>
      <c r="H100" s="7" t="n">
        <v>22000</v>
      </c>
      <c r="I100" s="15" t="n">
        <v>75.5</v>
      </c>
      <c r="J100" s="16" t="n">
        <v>0</v>
      </c>
      <c r="K100" s="15" t="n">
        <f aca="false">I100*H100*J100/100</f>
        <v>0</v>
      </c>
      <c r="L100" s="15" t="n">
        <f aca="false">I100*H100-K100</f>
        <v>1661000</v>
      </c>
      <c r="M100" s="15" t="n">
        <f aca="false">L100*0.12</f>
        <v>199320</v>
      </c>
      <c r="N100" s="15" t="n">
        <f aca="false">L100+M100</f>
        <v>1860320</v>
      </c>
      <c r="O100" s="7" t="s">
        <v>134</v>
      </c>
      <c r="P100" s="7" t="s">
        <v>364</v>
      </c>
      <c r="Q100" s="17" t="s">
        <v>342</v>
      </c>
      <c r="R100" s="6" t="s">
        <v>615</v>
      </c>
    </row>
    <row r="101" customFormat="false" ht="21.75" hidden="false" customHeight="true" outlineLevel="0" collapsed="false">
      <c r="A101" s="9" t="s">
        <v>616</v>
      </c>
      <c r="B101" s="12" t="s">
        <v>157</v>
      </c>
      <c r="C101" s="10" t="s">
        <v>158</v>
      </c>
      <c r="D101" s="10" t="s">
        <v>151</v>
      </c>
      <c r="E101" s="11" t="s">
        <v>617</v>
      </c>
      <c r="F101" s="18" t="n">
        <v>45719</v>
      </c>
      <c r="G101" s="18" t="n">
        <v>45726</v>
      </c>
      <c r="H101" s="12" t="n">
        <v>20</v>
      </c>
      <c r="I101" s="19" t="n">
        <v>58000</v>
      </c>
      <c r="J101" s="20" t="n">
        <v>5</v>
      </c>
      <c r="K101" s="19" t="n">
        <f aca="false">I101*H101*J101/100</f>
        <v>58000</v>
      </c>
      <c r="L101" s="19" t="n">
        <f aca="false">I101*H101-K101</f>
        <v>1102000</v>
      </c>
      <c r="M101" s="19" t="n">
        <f aca="false">L101*0.12</f>
        <v>132240</v>
      </c>
      <c r="N101" s="19" t="n">
        <f aca="false">L101+M101</f>
        <v>1234240</v>
      </c>
      <c r="O101" s="12" t="s">
        <v>24</v>
      </c>
      <c r="P101" s="12" t="s">
        <v>378</v>
      </c>
      <c r="Q101" s="17" t="s">
        <v>342</v>
      </c>
      <c r="R101" s="11" t="s">
        <v>618</v>
      </c>
    </row>
    <row r="102" customFormat="false" ht="21.75" hidden="false" customHeight="true" outlineLevel="0" collapsed="false">
      <c r="A102" s="4" t="s">
        <v>619</v>
      </c>
      <c r="B102" s="7" t="s">
        <v>252</v>
      </c>
      <c r="C102" s="5" t="s">
        <v>253</v>
      </c>
      <c r="D102" s="5" t="s">
        <v>239</v>
      </c>
      <c r="E102" s="6" t="s">
        <v>620</v>
      </c>
      <c r="F102" s="14" t="n">
        <v>45721</v>
      </c>
      <c r="G102" s="14" t="n">
        <v>45728</v>
      </c>
      <c r="H102" s="7" t="n">
        <v>600</v>
      </c>
      <c r="I102" s="15" t="n">
        <v>220</v>
      </c>
      <c r="J102" s="16" t="n">
        <v>0</v>
      </c>
      <c r="K102" s="15" t="n">
        <f aca="false">I102*H102*J102/100</f>
        <v>0</v>
      </c>
      <c r="L102" s="15" t="n">
        <f aca="false">I102*H102-K102</f>
        <v>132000</v>
      </c>
      <c r="M102" s="15" t="n">
        <f aca="false">L102*0.12</f>
        <v>15840</v>
      </c>
      <c r="N102" s="15" t="n">
        <f aca="false">L102+M102</f>
        <v>147840</v>
      </c>
      <c r="O102" s="7" t="s">
        <v>24</v>
      </c>
      <c r="P102" s="7" t="s">
        <v>351</v>
      </c>
      <c r="Q102" s="17" t="s">
        <v>342</v>
      </c>
      <c r="R102" s="6" t="s">
        <v>621</v>
      </c>
    </row>
    <row r="103" customFormat="false" ht="21.75" hidden="false" customHeight="true" outlineLevel="0" collapsed="false">
      <c r="A103" s="9" t="s">
        <v>622</v>
      </c>
      <c r="B103" s="12" t="s">
        <v>82</v>
      </c>
      <c r="C103" s="10" t="s">
        <v>83</v>
      </c>
      <c r="D103" s="10" t="s">
        <v>84</v>
      </c>
      <c r="E103" s="11" t="s">
        <v>623</v>
      </c>
      <c r="F103" s="18" t="n">
        <v>45724</v>
      </c>
      <c r="G103" s="18" t="n">
        <v>45738</v>
      </c>
      <c r="H103" s="12" t="n">
        <v>10</v>
      </c>
      <c r="I103" s="19" t="n">
        <v>125000</v>
      </c>
      <c r="J103" s="20" t="n">
        <v>5</v>
      </c>
      <c r="K103" s="19" t="n">
        <f aca="false">I103*H103*J103/100</f>
        <v>62500</v>
      </c>
      <c r="L103" s="19" t="n">
        <f aca="false">I103*H103-K103</f>
        <v>1187500</v>
      </c>
      <c r="M103" s="19" t="n">
        <f aca="false">L103*0.12</f>
        <v>142500</v>
      </c>
      <c r="N103" s="19" t="n">
        <f aca="false">L103+M103</f>
        <v>1330000</v>
      </c>
      <c r="O103" s="12" t="s">
        <v>35</v>
      </c>
      <c r="P103" s="12" t="s">
        <v>341</v>
      </c>
      <c r="Q103" s="17" t="s">
        <v>342</v>
      </c>
      <c r="R103" s="11" t="s">
        <v>624</v>
      </c>
    </row>
    <row r="104" customFormat="false" ht="21.75" hidden="false" customHeight="true" outlineLevel="0" collapsed="false">
      <c r="A104" s="4" t="s">
        <v>625</v>
      </c>
      <c r="B104" s="7" t="s">
        <v>275</v>
      </c>
      <c r="C104" s="5" t="s">
        <v>276</v>
      </c>
      <c r="D104" s="5" t="s">
        <v>269</v>
      </c>
      <c r="E104" s="6" t="s">
        <v>626</v>
      </c>
      <c r="F104" s="14" t="n">
        <v>45728</v>
      </c>
      <c r="G104" s="14" t="n">
        <v>45759</v>
      </c>
      <c r="H104" s="7" t="n">
        <v>1</v>
      </c>
      <c r="I104" s="15" t="n">
        <v>28500000</v>
      </c>
      <c r="J104" s="16" t="n">
        <v>0</v>
      </c>
      <c r="K104" s="15" t="n">
        <f aca="false">I104*H104*J104/100</f>
        <v>0</v>
      </c>
      <c r="L104" s="15" t="n">
        <f aca="false">I104*H104-K104</f>
        <v>28500000</v>
      </c>
      <c r="M104" s="15" t="n">
        <f aca="false">L104*0.12</f>
        <v>3420000</v>
      </c>
      <c r="N104" s="15" t="n">
        <f aca="false">L104+M104</f>
        <v>31920000</v>
      </c>
      <c r="O104" s="7" t="s">
        <v>24</v>
      </c>
      <c r="P104" s="7" t="s">
        <v>405</v>
      </c>
      <c r="Q104" s="21" t="s">
        <v>627</v>
      </c>
      <c r="R104" s="6" t="s">
        <v>628</v>
      </c>
    </row>
    <row r="105" customFormat="false" ht="21.75" hidden="false" customHeight="true" outlineLevel="0" collapsed="false">
      <c r="A105" s="9" t="s">
        <v>629</v>
      </c>
      <c r="B105" s="12" t="s">
        <v>111</v>
      </c>
      <c r="C105" s="10" t="s">
        <v>112</v>
      </c>
      <c r="D105" s="10" t="s">
        <v>113</v>
      </c>
      <c r="E105" s="11" t="s">
        <v>630</v>
      </c>
      <c r="F105" s="18" t="n">
        <v>45733</v>
      </c>
      <c r="G105" s="18" t="n">
        <v>45740</v>
      </c>
      <c r="H105" s="12" t="n">
        <v>60</v>
      </c>
      <c r="I105" s="19" t="n">
        <v>8500</v>
      </c>
      <c r="J105" s="20" t="n">
        <v>0</v>
      </c>
      <c r="K105" s="19" t="n">
        <f aca="false">I105*H105*J105/100</f>
        <v>0</v>
      </c>
      <c r="L105" s="19" t="n">
        <f aca="false">I105*H105-K105</f>
        <v>510000</v>
      </c>
      <c r="M105" s="19" t="n">
        <f aca="false">L105*0.12</f>
        <v>61200</v>
      </c>
      <c r="N105" s="19" t="n">
        <f aca="false">L105+M105</f>
        <v>571200</v>
      </c>
      <c r="O105" s="12" t="s">
        <v>24</v>
      </c>
      <c r="P105" s="12" t="s">
        <v>358</v>
      </c>
      <c r="Q105" s="17" t="s">
        <v>342</v>
      </c>
      <c r="R105" s="11" t="s">
        <v>631</v>
      </c>
    </row>
    <row r="106" customFormat="false" ht="21.75" hidden="false" customHeight="true" outlineLevel="0" collapsed="false">
      <c r="A106" s="4" t="s">
        <v>632</v>
      </c>
      <c r="B106" s="7" t="s">
        <v>126</v>
      </c>
      <c r="C106" s="5" t="s">
        <v>127</v>
      </c>
      <c r="D106" s="5" t="s">
        <v>128</v>
      </c>
      <c r="E106" s="6" t="s">
        <v>487</v>
      </c>
      <c r="F106" s="14" t="n">
        <v>45741</v>
      </c>
      <c r="G106" s="14" t="n">
        <v>45744</v>
      </c>
      <c r="H106" s="7" t="n">
        <v>25000</v>
      </c>
      <c r="I106" s="15" t="n">
        <v>75.1</v>
      </c>
      <c r="J106" s="16" t="n">
        <v>0</v>
      </c>
      <c r="K106" s="15" t="n">
        <f aca="false">I106*H106*J106/100</f>
        <v>0</v>
      </c>
      <c r="L106" s="15" t="n">
        <f aca="false">I106*H106-K106</f>
        <v>1877500</v>
      </c>
      <c r="M106" s="15" t="n">
        <f aca="false">L106*0.12</f>
        <v>225300</v>
      </c>
      <c r="N106" s="15" t="n">
        <f aca="false">L106+M106</f>
        <v>2102800</v>
      </c>
      <c r="O106" s="7" t="s">
        <v>134</v>
      </c>
      <c r="P106" s="7" t="s">
        <v>364</v>
      </c>
      <c r="Q106" s="17" t="s">
        <v>342</v>
      </c>
      <c r="R106" s="6" t="s">
        <v>633</v>
      </c>
    </row>
    <row r="107" customFormat="false" ht="21.75" hidden="false" customHeight="true" outlineLevel="0" collapsed="false">
      <c r="A107" s="9" t="s">
        <v>634</v>
      </c>
      <c r="B107" s="12" t="s">
        <v>16</v>
      </c>
      <c r="C107" s="10" t="s">
        <v>17</v>
      </c>
      <c r="D107" s="10" t="s">
        <v>18</v>
      </c>
      <c r="E107" s="11" t="s">
        <v>635</v>
      </c>
      <c r="F107" s="18" t="n">
        <v>45748</v>
      </c>
      <c r="G107" s="18" t="n">
        <v>45755</v>
      </c>
      <c r="H107" s="12" t="n">
        <v>5000</v>
      </c>
      <c r="I107" s="19" t="n">
        <v>315</v>
      </c>
      <c r="J107" s="20" t="n">
        <v>2</v>
      </c>
      <c r="K107" s="19" t="n">
        <f aca="false">I107*H107*J107/100</f>
        <v>31500</v>
      </c>
      <c r="L107" s="19" t="n">
        <f aca="false">I107*H107-K107</f>
        <v>1543500</v>
      </c>
      <c r="M107" s="19" t="n">
        <f aca="false">L107*0.12</f>
        <v>185220</v>
      </c>
      <c r="N107" s="19" t="n">
        <f aca="false">L107+M107</f>
        <v>1728720</v>
      </c>
      <c r="O107" s="12" t="s">
        <v>24</v>
      </c>
      <c r="P107" s="12" t="s">
        <v>341</v>
      </c>
      <c r="Q107" s="17" t="s">
        <v>342</v>
      </c>
      <c r="R107" s="11" t="s">
        <v>636</v>
      </c>
    </row>
    <row r="108" customFormat="false" ht="21.75" hidden="false" customHeight="true" outlineLevel="0" collapsed="false">
      <c r="A108" s="4" t="s">
        <v>637</v>
      </c>
      <c r="B108" s="7" t="s">
        <v>44</v>
      </c>
      <c r="C108" s="5" t="s">
        <v>45</v>
      </c>
      <c r="D108" s="5" t="s">
        <v>46</v>
      </c>
      <c r="E108" s="6" t="s">
        <v>638</v>
      </c>
      <c r="F108" s="14" t="n">
        <v>45750</v>
      </c>
      <c r="G108" s="14" t="n">
        <v>45764</v>
      </c>
      <c r="H108" s="7" t="n">
        <v>6000</v>
      </c>
      <c r="I108" s="15" t="n">
        <v>295</v>
      </c>
      <c r="J108" s="16" t="n">
        <v>2</v>
      </c>
      <c r="K108" s="15" t="n">
        <f aca="false">I108*H108*J108/100</f>
        <v>35400</v>
      </c>
      <c r="L108" s="15" t="n">
        <f aca="false">I108*H108-K108</f>
        <v>1734600</v>
      </c>
      <c r="M108" s="15" t="n">
        <f aca="false">L108*0.12</f>
        <v>208152</v>
      </c>
      <c r="N108" s="15" t="n">
        <f aca="false">L108+M108</f>
        <v>1942752</v>
      </c>
      <c r="O108" s="7" t="s">
        <v>24</v>
      </c>
      <c r="P108" s="7" t="s">
        <v>341</v>
      </c>
      <c r="Q108" s="17" t="s">
        <v>342</v>
      </c>
      <c r="R108" s="6" t="s">
        <v>639</v>
      </c>
    </row>
    <row r="109" customFormat="false" ht="21.75" hidden="false" customHeight="true" outlineLevel="0" collapsed="false">
      <c r="A109" s="9" t="s">
        <v>640</v>
      </c>
      <c r="B109" s="12" t="s">
        <v>230</v>
      </c>
      <c r="C109" s="10" t="s">
        <v>231</v>
      </c>
      <c r="D109" s="10" t="s">
        <v>18</v>
      </c>
      <c r="E109" s="11" t="s">
        <v>641</v>
      </c>
      <c r="F109" s="18" t="n">
        <v>45754</v>
      </c>
      <c r="G109" s="18" t="n">
        <v>45764</v>
      </c>
      <c r="H109" s="12" t="n">
        <v>2500</v>
      </c>
      <c r="I109" s="19" t="n">
        <v>312</v>
      </c>
      <c r="J109" s="20" t="n">
        <v>1</v>
      </c>
      <c r="K109" s="19" t="n">
        <f aca="false">I109*H109*J109/100</f>
        <v>7800</v>
      </c>
      <c r="L109" s="19" t="n">
        <f aca="false">I109*H109-K109</f>
        <v>772200</v>
      </c>
      <c r="M109" s="19" t="n">
        <f aca="false">L109*0.12</f>
        <v>92664</v>
      </c>
      <c r="N109" s="19" t="n">
        <f aca="false">L109+M109</f>
        <v>864864</v>
      </c>
      <c r="O109" s="12" t="s">
        <v>24</v>
      </c>
      <c r="P109" s="12" t="s">
        <v>351</v>
      </c>
      <c r="Q109" s="17" t="s">
        <v>342</v>
      </c>
      <c r="R109" s="11" t="s">
        <v>642</v>
      </c>
    </row>
    <row r="110" customFormat="false" ht="21.75" hidden="false" customHeight="true" outlineLevel="0" collapsed="false">
      <c r="A110" s="4" t="s">
        <v>643</v>
      </c>
      <c r="B110" s="7" t="s">
        <v>67</v>
      </c>
      <c r="C110" s="5" t="s">
        <v>68</v>
      </c>
      <c r="D110" s="5" t="s">
        <v>69</v>
      </c>
      <c r="E110" s="6" t="s">
        <v>545</v>
      </c>
      <c r="F110" s="14" t="n">
        <v>45757</v>
      </c>
      <c r="G110" s="14" t="n">
        <v>45760</v>
      </c>
      <c r="H110" s="7" t="n">
        <v>30000</v>
      </c>
      <c r="I110" s="15" t="n">
        <v>25</v>
      </c>
      <c r="J110" s="16" t="n">
        <v>0</v>
      </c>
      <c r="K110" s="15" t="n">
        <f aca="false">I110*H110*J110/100</f>
        <v>0</v>
      </c>
      <c r="L110" s="15" t="n">
        <f aca="false">I110*H110-K110</f>
        <v>750000</v>
      </c>
      <c r="M110" s="15" t="n">
        <f aca="false">L110*0.12</f>
        <v>90000</v>
      </c>
      <c r="N110" s="15" t="n">
        <f aca="false">L110+M110</f>
        <v>840000</v>
      </c>
      <c r="O110" s="7" t="s">
        <v>24</v>
      </c>
      <c r="P110" s="7" t="s">
        <v>351</v>
      </c>
      <c r="Q110" s="17" t="s">
        <v>342</v>
      </c>
      <c r="R110" s="6" t="s">
        <v>644</v>
      </c>
    </row>
    <row r="111" customFormat="false" ht="21.75" hidden="false" customHeight="true" outlineLevel="0" collapsed="false">
      <c r="A111" s="9" t="s">
        <v>645</v>
      </c>
      <c r="B111" s="12" t="s">
        <v>314</v>
      </c>
      <c r="C111" s="10" t="s">
        <v>315</v>
      </c>
      <c r="D111" s="10" t="s">
        <v>316</v>
      </c>
      <c r="E111" s="11" t="s">
        <v>646</v>
      </c>
      <c r="F111" s="18" t="n">
        <v>45759</v>
      </c>
      <c r="G111" s="18" t="n">
        <v>45766</v>
      </c>
      <c r="H111" s="12" t="n">
        <v>250</v>
      </c>
      <c r="I111" s="19" t="n">
        <v>2200</v>
      </c>
      <c r="J111" s="20" t="n">
        <v>0</v>
      </c>
      <c r="K111" s="19" t="n">
        <f aca="false">I111*H111*J111/100</f>
        <v>0</v>
      </c>
      <c r="L111" s="19" t="n">
        <f aca="false">I111*H111-K111</f>
        <v>550000</v>
      </c>
      <c r="M111" s="19" t="n">
        <f aca="false">L111*0.12</f>
        <v>66000</v>
      </c>
      <c r="N111" s="19" t="n">
        <f aca="false">L111+M111</f>
        <v>616000</v>
      </c>
      <c r="O111" s="12" t="s">
        <v>24</v>
      </c>
      <c r="P111" s="12" t="s">
        <v>351</v>
      </c>
      <c r="Q111" s="17" t="s">
        <v>342</v>
      </c>
      <c r="R111" s="11" t="s">
        <v>647</v>
      </c>
    </row>
    <row r="112" customFormat="false" ht="21.75" hidden="false" customHeight="true" outlineLevel="0" collapsed="false">
      <c r="A112" s="4" t="s">
        <v>648</v>
      </c>
      <c r="B112" s="7" t="s">
        <v>135</v>
      </c>
      <c r="C112" s="5" t="s">
        <v>136</v>
      </c>
      <c r="D112" s="5" t="s">
        <v>128</v>
      </c>
      <c r="E112" s="6" t="s">
        <v>487</v>
      </c>
      <c r="F112" s="14" t="n">
        <v>45771</v>
      </c>
      <c r="G112" s="14" t="n">
        <v>45774</v>
      </c>
      <c r="H112" s="7" t="n">
        <v>28000</v>
      </c>
      <c r="I112" s="15" t="n">
        <v>76.2</v>
      </c>
      <c r="J112" s="16" t="n">
        <v>0</v>
      </c>
      <c r="K112" s="15" t="n">
        <f aca="false">I112*H112*J112/100</f>
        <v>0</v>
      </c>
      <c r="L112" s="15" t="n">
        <f aca="false">I112*H112-K112</f>
        <v>2133600</v>
      </c>
      <c r="M112" s="15" t="n">
        <f aca="false">L112*0.12</f>
        <v>256032</v>
      </c>
      <c r="N112" s="15" t="n">
        <f aca="false">L112+M112</f>
        <v>2389632</v>
      </c>
      <c r="O112" s="7" t="s">
        <v>134</v>
      </c>
      <c r="P112" s="7" t="s">
        <v>364</v>
      </c>
      <c r="Q112" s="17" t="s">
        <v>342</v>
      </c>
      <c r="R112" s="6" t="s">
        <v>649</v>
      </c>
    </row>
    <row r="113" customFormat="false" ht="21.75" hidden="false" customHeight="true" outlineLevel="0" collapsed="false">
      <c r="A113" s="9" t="s">
        <v>650</v>
      </c>
      <c r="B113" s="12" t="s">
        <v>90</v>
      </c>
      <c r="C113" s="10" t="s">
        <v>91</v>
      </c>
      <c r="D113" s="10" t="s">
        <v>84</v>
      </c>
      <c r="E113" s="11" t="s">
        <v>651</v>
      </c>
      <c r="F113" s="18" t="n">
        <v>45782</v>
      </c>
      <c r="G113" s="18" t="n">
        <v>45803</v>
      </c>
      <c r="H113" s="12" t="n">
        <v>1</v>
      </c>
      <c r="I113" s="19" t="n">
        <v>3850000</v>
      </c>
      <c r="J113" s="20" t="n">
        <v>5</v>
      </c>
      <c r="K113" s="19" t="n">
        <f aca="false">I113*H113*J113/100</f>
        <v>192500</v>
      </c>
      <c r="L113" s="19" t="n">
        <f aca="false">I113*H113-K113</f>
        <v>3657500</v>
      </c>
      <c r="M113" s="19" t="n">
        <f aca="false">L113*0.12</f>
        <v>438900</v>
      </c>
      <c r="N113" s="19" t="n">
        <f aca="false">L113+M113</f>
        <v>4096400</v>
      </c>
      <c r="O113" s="12" t="s">
        <v>35</v>
      </c>
      <c r="P113" s="12" t="s">
        <v>405</v>
      </c>
      <c r="Q113" s="17" t="s">
        <v>342</v>
      </c>
      <c r="R113" s="11" t="s">
        <v>652</v>
      </c>
    </row>
    <row r="114" customFormat="false" ht="21.75" hidden="false" customHeight="true" outlineLevel="0" collapsed="false">
      <c r="A114" s="4" t="s">
        <v>653</v>
      </c>
      <c r="B114" s="7" t="s">
        <v>306</v>
      </c>
      <c r="C114" s="5" t="s">
        <v>307</v>
      </c>
      <c r="D114" s="5" t="s">
        <v>308</v>
      </c>
      <c r="E114" s="6" t="s">
        <v>369</v>
      </c>
      <c r="F114" s="14" t="n">
        <v>45785</v>
      </c>
      <c r="G114" s="14" t="n">
        <v>45792</v>
      </c>
      <c r="H114" s="7" t="n">
        <v>500</v>
      </c>
      <c r="I114" s="15" t="n">
        <v>1900</v>
      </c>
      <c r="J114" s="16" t="n">
        <v>0</v>
      </c>
      <c r="K114" s="15" t="n">
        <f aca="false">I114*H114*J114/100</f>
        <v>0</v>
      </c>
      <c r="L114" s="15" t="n">
        <f aca="false">I114*H114-K114</f>
        <v>950000</v>
      </c>
      <c r="M114" s="15" t="n">
        <f aca="false">L114*0.12</f>
        <v>114000</v>
      </c>
      <c r="N114" s="15" t="n">
        <f aca="false">L114+M114</f>
        <v>1064000</v>
      </c>
      <c r="O114" s="7" t="s">
        <v>24</v>
      </c>
      <c r="P114" s="7" t="s">
        <v>351</v>
      </c>
      <c r="Q114" s="17" t="s">
        <v>342</v>
      </c>
      <c r="R114" s="6" t="s">
        <v>654</v>
      </c>
    </row>
    <row r="115" customFormat="false" ht="21.75" hidden="false" customHeight="true" outlineLevel="0" collapsed="false">
      <c r="A115" s="9" t="s">
        <v>655</v>
      </c>
      <c r="B115" s="12" t="s">
        <v>59</v>
      </c>
      <c r="C115" s="10" t="s">
        <v>60</v>
      </c>
      <c r="D115" s="10" t="s">
        <v>46</v>
      </c>
      <c r="E115" s="11" t="s">
        <v>656</v>
      </c>
      <c r="F115" s="18" t="n">
        <v>45789</v>
      </c>
      <c r="G115" s="18" t="n">
        <v>45799</v>
      </c>
      <c r="H115" s="12" t="n">
        <v>1200</v>
      </c>
      <c r="I115" s="19" t="n">
        <v>680</v>
      </c>
      <c r="J115" s="20" t="n">
        <v>0</v>
      </c>
      <c r="K115" s="19" t="n">
        <f aca="false">I115*H115*J115/100</f>
        <v>0</v>
      </c>
      <c r="L115" s="19" t="n">
        <f aca="false">I115*H115-K115</f>
        <v>816000</v>
      </c>
      <c r="M115" s="19" t="n">
        <f aca="false">L115*0.12</f>
        <v>97920</v>
      </c>
      <c r="N115" s="19" t="n">
        <f aca="false">L115+M115</f>
        <v>913920</v>
      </c>
      <c r="O115" s="12" t="s">
        <v>24</v>
      </c>
      <c r="P115" s="12" t="s">
        <v>351</v>
      </c>
      <c r="Q115" s="17" t="s">
        <v>342</v>
      </c>
      <c r="R115" s="11" t="s">
        <v>657</v>
      </c>
    </row>
    <row r="116" customFormat="false" ht="21.75" hidden="false" customHeight="true" outlineLevel="0" collapsed="false">
      <c r="A116" s="4" t="s">
        <v>658</v>
      </c>
      <c r="B116" s="7" t="s">
        <v>185</v>
      </c>
      <c r="C116" s="5" t="s">
        <v>186</v>
      </c>
      <c r="D116" s="5" t="s">
        <v>187</v>
      </c>
      <c r="E116" s="6" t="s">
        <v>659</v>
      </c>
      <c r="F116" s="14" t="n">
        <v>45791</v>
      </c>
      <c r="G116" s="14" t="n">
        <v>45794</v>
      </c>
      <c r="H116" s="7" t="n">
        <v>80</v>
      </c>
      <c r="I116" s="15" t="n">
        <v>850</v>
      </c>
      <c r="J116" s="16" t="n">
        <v>0</v>
      </c>
      <c r="K116" s="15" t="n">
        <f aca="false">I116*H116*J116/100</f>
        <v>0</v>
      </c>
      <c r="L116" s="15" t="n">
        <f aca="false">I116*H116-K116</f>
        <v>68000</v>
      </c>
      <c r="M116" s="15" t="n">
        <f aca="false">L116*0.12</f>
        <v>8160</v>
      </c>
      <c r="N116" s="15" t="n">
        <f aca="false">L116+M116</f>
        <v>76160</v>
      </c>
      <c r="O116" s="7" t="s">
        <v>24</v>
      </c>
      <c r="P116" s="7" t="s">
        <v>382</v>
      </c>
      <c r="Q116" s="17" t="s">
        <v>342</v>
      </c>
      <c r="R116" s="6" t="s">
        <v>660</v>
      </c>
    </row>
    <row r="117" customFormat="false" ht="21.75" hidden="false" customHeight="true" outlineLevel="0" collapsed="false">
      <c r="A117" s="9" t="s">
        <v>661</v>
      </c>
      <c r="B117" s="12" t="s">
        <v>111</v>
      </c>
      <c r="C117" s="10" t="s">
        <v>112</v>
      </c>
      <c r="D117" s="10" t="s">
        <v>113</v>
      </c>
      <c r="E117" s="11" t="s">
        <v>662</v>
      </c>
      <c r="F117" s="18" t="n">
        <v>45793</v>
      </c>
      <c r="G117" s="18" t="n">
        <v>45800</v>
      </c>
      <c r="H117" s="12" t="n">
        <v>100</v>
      </c>
      <c r="I117" s="19" t="n">
        <v>3850</v>
      </c>
      <c r="J117" s="20" t="n">
        <v>0</v>
      </c>
      <c r="K117" s="19" t="n">
        <f aca="false">I117*H117*J117/100</f>
        <v>0</v>
      </c>
      <c r="L117" s="19" t="n">
        <f aca="false">I117*H117-K117</f>
        <v>385000</v>
      </c>
      <c r="M117" s="19" t="n">
        <f aca="false">L117*0.12</f>
        <v>46200</v>
      </c>
      <c r="N117" s="19" t="n">
        <f aca="false">L117+M117</f>
        <v>431200</v>
      </c>
      <c r="O117" s="12" t="s">
        <v>24</v>
      </c>
      <c r="P117" s="12" t="s">
        <v>358</v>
      </c>
      <c r="Q117" s="17" t="s">
        <v>342</v>
      </c>
      <c r="R117" s="11" t="s">
        <v>663</v>
      </c>
    </row>
    <row r="118" customFormat="false" ht="21.75" hidden="false" customHeight="true" outlineLevel="0" collapsed="false">
      <c r="A118" s="4" t="s">
        <v>664</v>
      </c>
      <c r="B118" s="7" t="s">
        <v>126</v>
      </c>
      <c r="C118" s="5" t="s">
        <v>127</v>
      </c>
      <c r="D118" s="5" t="s">
        <v>128</v>
      </c>
      <c r="E118" s="6" t="s">
        <v>487</v>
      </c>
      <c r="F118" s="14" t="n">
        <v>45803</v>
      </c>
      <c r="G118" s="14" t="n">
        <v>45806</v>
      </c>
      <c r="H118" s="7" t="n">
        <v>30000</v>
      </c>
      <c r="I118" s="15" t="n">
        <v>76.8</v>
      </c>
      <c r="J118" s="16" t="n">
        <v>0</v>
      </c>
      <c r="K118" s="15" t="n">
        <f aca="false">I118*H118*J118/100</f>
        <v>0</v>
      </c>
      <c r="L118" s="15" t="n">
        <f aca="false">I118*H118-K118</f>
        <v>2304000</v>
      </c>
      <c r="M118" s="15" t="n">
        <f aca="false">L118*0.12</f>
        <v>276480</v>
      </c>
      <c r="N118" s="15" t="n">
        <f aca="false">L118+M118</f>
        <v>2580480</v>
      </c>
      <c r="O118" s="7" t="s">
        <v>134</v>
      </c>
      <c r="P118" s="7" t="s">
        <v>364</v>
      </c>
      <c r="Q118" s="17" t="s">
        <v>342</v>
      </c>
      <c r="R118" s="6" t="s">
        <v>665</v>
      </c>
    </row>
    <row r="119" customFormat="false" ht="21.75" hidden="false" customHeight="true" outlineLevel="0" collapsed="false">
      <c r="A119" s="9" t="s">
        <v>666</v>
      </c>
      <c r="B119" s="12" t="s">
        <v>104</v>
      </c>
      <c r="C119" s="10" t="s">
        <v>105</v>
      </c>
      <c r="D119" s="10" t="s">
        <v>84</v>
      </c>
      <c r="E119" s="11" t="s">
        <v>667</v>
      </c>
      <c r="F119" s="18" t="n">
        <v>45811</v>
      </c>
      <c r="G119" s="18" t="n">
        <v>45821</v>
      </c>
      <c r="H119" s="12" t="n">
        <v>800</v>
      </c>
      <c r="I119" s="19" t="n">
        <v>485</v>
      </c>
      <c r="J119" s="20" t="n">
        <v>5</v>
      </c>
      <c r="K119" s="19" t="n">
        <f aca="false">I119*H119*J119/100</f>
        <v>19400</v>
      </c>
      <c r="L119" s="19" t="n">
        <f aca="false">I119*H119-K119</f>
        <v>368600</v>
      </c>
      <c r="M119" s="19" t="n">
        <f aca="false">L119*0.12</f>
        <v>44232</v>
      </c>
      <c r="N119" s="19" t="n">
        <f aca="false">L119+M119</f>
        <v>412832</v>
      </c>
      <c r="O119" s="12" t="s">
        <v>24</v>
      </c>
      <c r="P119" s="12" t="s">
        <v>341</v>
      </c>
      <c r="Q119" s="17" t="s">
        <v>342</v>
      </c>
      <c r="R119" s="11" t="s">
        <v>668</v>
      </c>
    </row>
    <row r="120" customFormat="false" ht="21.75" hidden="false" customHeight="true" outlineLevel="0" collapsed="false">
      <c r="A120" s="4" t="s">
        <v>669</v>
      </c>
      <c r="B120" s="7" t="s">
        <v>97</v>
      </c>
      <c r="C120" s="5" t="s">
        <v>98</v>
      </c>
      <c r="D120" s="5" t="s">
        <v>84</v>
      </c>
      <c r="E120" s="6" t="s">
        <v>670</v>
      </c>
      <c r="F120" s="14" t="n">
        <v>45813</v>
      </c>
      <c r="G120" s="14" t="n">
        <v>45827</v>
      </c>
      <c r="H120" s="7" t="n">
        <v>2</v>
      </c>
      <c r="I120" s="15" t="n">
        <v>1250000</v>
      </c>
      <c r="J120" s="16" t="n">
        <v>3</v>
      </c>
      <c r="K120" s="15" t="n">
        <f aca="false">I120*H120*J120/100</f>
        <v>75000</v>
      </c>
      <c r="L120" s="15" t="n">
        <f aca="false">I120*H120-K120</f>
        <v>2425000</v>
      </c>
      <c r="M120" s="15" t="n">
        <f aca="false">L120*0.12</f>
        <v>291000</v>
      </c>
      <c r="N120" s="15" t="n">
        <f aca="false">L120+M120</f>
        <v>2716000</v>
      </c>
      <c r="O120" s="7" t="s">
        <v>24</v>
      </c>
      <c r="P120" s="7" t="s">
        <v>341</v>
      </c>
      <c r="Q120" s="17" t="s">
        <v>342</v>
      </c>
      <c r="R120" s="6" t="s">
        <v>671</v>
      </c>
    </row>
    <row r="121" customFormat="false" ht="21.75" hidden="false" customHeight="true" outlineLevel="0" collapsed="false">
      <c r="A121" s="9" t="s">
        <v>672</v>
      </c>
      <c r="B121" s="12" t="s">
        <v>149</v>
      </c>
      <c r="C121" s="10" t="s">
        <v>150</v>
      </c>
      <c r="D121" s="10" t="s">
        <v>151</v>
      </c>
      <c r="E121" s="11" t="s">
        <v>673</v>
      </c>
      <c r="F121" s="18" t="n">
        <v>45817</v>
      </c>
      <c r="G121" s="18" t="n">
        <v>45824</v>
      </c>
      <c r="H121" s="12" t="n">
        <v>25</v>
      </c>
      <c r="I121" s="19" t="n">
        <v>55000</v>
      </c>
      <c r="J121" s="20" t="n">
        <v>5</v>
      </c>
      <c r="K121" s="19" t="n">
        <f aca="false">I121*H121*J121/100</f>
        <v>68750</v>
      </c>
      <c r="L121" s="19" t="n">
        <f aca="false">I121*H121-K121</f>
        <v>1306250</v>
      </c>
      <c r="M121" s="19" t="n">
        <f aca="false">L121*0.12</f>
        <v>156750</v>
      </c>
      <c r="N121" s="19" t="n">
        <f aca="false">L121+M121</f>
        <v>1463000</v>
      </c>
      <c r="O121" s="12" t="s">
        <v>24</v>
      </c>
      <c r="P121" s="12" t="s">
        <v>378</v>
      </c>
      <c r="Q121" s="17" t="s">
        <v>342</v>
      </c>
      <c r="R121" s="11" t="s">
        <v>674</v>
      </c>
    </row>
    <row r="122" customFormat="false" ht="21.75" hidden="false" customHeight="true" outlineLevel="0" collapsed="false">
      <c r="A122" s="4" t="s">
        <v>675</v>
      </c>
      <c r="B122" s="7" t="s">
        <v>298</v>
      </c>
      <c r="C122" s="5" t="s">
        <v>299</v>
      </c>
      <c r="D122" s="5" t="s">
        <v>291</v>
      </c>
      <c r="E122" s="6" t="s">
        <v>676</v>
      </c>
      <c r="F122" s="14" t="n">
        <v>45820</v>
      </c>
      <c r="G122" s="14" t="n">
        <v>45850</v>
      </c>
      <c r="H122" s="7" t="n">
        <v>1</v>
      </c>
      <c r="I122" s="15" t="n">
        <v>22500000</v>
      </c>
      <c r="J122" s="16" t="n">
        <v>0</v>
      </c>
      <c r="K122" s="15" t="n">
        <f aca="false">I122*H122*J122/100</f>
        <v>0</v>
      </c>
      <c r="L122" s="15" t="n">
        <f aca="false">I122*H122-K122</f>
        <v>22500000</v>
      </c>
      <c r="M122" s="15" t="n">
        <f aca="false">L122*0.12</f>
        <v>2700000</v>
      </c>
      <c r="N122" s="15" t="n">
        <f aca="false">L122+M122</f>
        <v>25200000</v>
      </c>
      <c r="O122" s="7" t="s">
        <v>305</v>
      </c>
      <c r="P122" s="7" t="s">
        <v>405</v>
      </c>
      <c r="Q122" s="21" t="s">
        <v>627</v>
      </c>
      <c r="R122" s="6" t="s">
        <v>677</v>
      </c>
    </row>
    <row r="123" customFormat="false" ht="21.75" hidden="false" customHeight="true" outlineLevel="0" collapsed="false">
      <c r="A123" s="9" t="s">
        <v>678</v>
      </c>
      <c r="B123" s="12" t="s">
        <v>135</v>
      </c>
      <c r="C123" s="10" t="s">
        <v>136</v>
      </c>
      <c r="D123" s="10" t="s">
        <v>128</v>
      </c>
      <c r="E123" s="11" t="s">
        <v>487</v>
      </c>
      <c r="F123" s="18" t="n">
        <v>45833</v>
      </c>
      <c r="G123" s="18" t="n">
        <v>45836</v>
      </c>
      <c r="H123" s="12" t="n">
        <v>30000</v>
      </c>
      <c r="I123" s="19" t="n">
        <v>77.5</v>
      </c>
      <c r="J123" s="20" t="n">
        <v>0</v>
      </c>
      <c r="K123" s="19" t="n">
        <f aca="false">I123*H123*J123/100</f>
        <v>0</v>
      </c>
      <c r="L123" s="19" t="n">
        <f aca="false">I123*H123-K123</f>
        <v>2325000</v>
      </c>
      <c r="M123" s="19" t="n">
        <f aca="false">L123*0.12</f>
        <v>279000</v>
      </c>
      <c r="N123" s="19" t="n">
        <f aca="false">L123+M123</f>
        <v>2604000</v>
      </c>
      <c r="O123" s="12" t="s">
        <v>134</v>
      </c>
      <c r="P123" s="12" t="s">
        <v>364</v>
      </c>
      <c r="Q123" s="17" t="s">
        <v>342</v>
      </c>
      <c r="R123" s="11" t="s">
        <v>679</v>
      </c>
    </row>
    <row r="124" customFormat="false" ht="21.75" hidden="false" customHeight="true" outlineLevel="0" collapsed="false">
      <c r="A124" s="4" t="s">
        <v>680</v>
      </c>
      <c r="B124" s="7" t="s">
        <v>16</v>
      </c>
      <c r="C124" s="5" t="s">
        <v>17</v>
      </c>
      <c r="D124" s="5" t="s">
        <v>18</v>
      </c>
      <c r="E124" s="6" t="s">
        <v>585</v>
      </c>
      <c r="F124" s="14" t="n">
        <v>45839</v>
      </c>
      <c r="G124" s="14" t="n">
        <v>45846</v>
      </c>
      <c r="H124" s="7" t="n">
        <v>6000</v>
      </c>
      <c r="I124" s="15" t="n">
        <v>308</v>
      </c>
      <c r="J124" s="16" t="n">
        <v>2</v>
      </c>
      <c r="K124" s="15" t="n">
        <f aca="false">I124*H124*J124/100</f>
        <v>36960</v>
      </c>
      <c r="L124" s="15" t="n">
        <f aca="false">I124*H124-K124</f>
        <v>1811040</v>
      </c>
      <c r="M124" s="15" t="n">
        <f aca="false">L124*0.12</f>
        <v>217324.8</v>
      </c>
      <c r="N124" s="15" t="n">
        <f aca="false">L124+M124</f>
        <v>2028364.8</v>
      </c>
      <c r="O124" s="7" t="s">
        <v>24</v>
      </c>
      <c r="P124" s="7" t="s">
        <v>341</v>
      </c>
      <c r="Q124" s="17" t="s">
        <v>342</v>
      </c>
      <c r="R124" s="6" t="s">
        <v>681</v>
      </c>
    </row>
    <row r="125" customFormat="false" ht="21.75" hidden="false" customHeight="true" outlineLevel="0" collapsed="false">
      <c r="A125" s="9" t="s">
        <v>682</v>
      </c>
      <c r="B125" s="12" t="s">
        <v>44</v>
      </c>
      <c r="C125" s="10" t="s">
        <v>45</v>
      </c>
      <c r="D125" s="10" t="s">
        <v>46</v>
      </c>
      <c r="E125" s="11" t="s">
        <v>683</v>
      </c>
      <c r="F125" s="18" t="n">
        <v>45842</v>
      </c>
      <c r="G125" s="18" t="n">
        <v>45856</v>
      </c>
      <c r="H125" s="12" t="n">
        <v>4000</v>
      </c>
      <c r="I125" s="19" t="n">
        <v>510</v>
      </c>
      <c r="J125" s="20" t="n">
        <v>1.5</v>
      </c>
      <c r="K125" s="19" t="n">
        <f aca="false">I125*H125*J125/100</f>
        <v>30600</v>
      </c>
      <c r="L125" s="19" t="n">
        <f aca="false">I125*H125-K125</f>
        <v>2009400</v>
      </c>
      <c r="M125" s="19" t="n">
        <f aca="false">L125*0.12</f>
        <v>241128</v>
      </c>
      <c r="N125" s="19" t="n">
        <f aca="false">L125+M125</f>
        <v>2250528</v>
      </c>
      <c r="O125" s="12" t="s">
        <v>24</v>
      </c>
      <c r="P125" s="12" t="s">
        <v>341</v>
      </c>
      <c r="Q125" s="17" t="s">
        <v>342</v>
      </c>
      <c r="R125" s="11" t="s">
        <v>684</v>
      </c>
    </row>
    <row r="126" customFormat="false" ht="21.75" hidden="false" customHeight="true" outlineLevel="0" collapsed="false">
      <c r="A126" s="4" t="s">
        <v>685</v>
      </c>
      <c r="B126" s="7" t="s">
        <v>282</v>
      </c>
      <c r="C126" s="5" t="s">
        <v>283</v>
      </c>
      <c r="D126" s="5" t="s">
        <v>269</v>
      </c>
      <c r="E126" s="6" t="s">
        <v>686</v>
      </c>
      <c r="F126" s="14" t="n">
        <v>45845</v>
      </c>
      <c r="G126" s="14" t="n">
        <v>45876</v>
      </c>
      <c r="H126" s="7" t="n">
        <v>1</v>
      </c>
      <c r="I126" s="15" t="n">
        <v>15800000</v>
      </c>
      <c r="J126" s="16" t="n">
        <v>0</v>
      </c>
      <c r="K126" s="15" t="n">
        <f aca="false">I126*H126*J126/100</f>
        <v>0</v>
      </c>
      <c r="L126" s="15" t="n">
        <f aca="false">I126*H126-K126</f>
        <v>15800000</v>
      </c>
      <c r="M126" s="15" t="n">
        <f aca="false">L126*0.12</f>
        <v>1896000</v>
      </c>
      <c r="N126" s="15" t="n">
        <f aca="false">L126+M126</f>
        <v>17696000</v>
      </c>
      <c r="O126" s="7" t="s">
        <v>24</v>
      </c>
      <c r="P126" s="7" t="s">
        <v>405</v>
      </c>
      <c r="Q126" s="21" t="s">
        <v>627</v>
      </c>
      <c r="R126" s="6" t="s">
        <v>687</v>
      </c>
    </row>
    <row r="127" customFormat="false" ht="21.75" hidden="false" customHeight="true" outlineLevel="0" collapsed="false">
      <c r="A127" s="9" t="s">
        <v>688</v>
      </c>
      <c r="B127" s="12" t="s">
        <v>111</v>
      </c>
      <c r="C127" s="10" t="s">
        <v>112</v>
      </c>
      <c r="D127" s="10" t="s">
        <v>113</v>
      </c>
      <c r="E127" s="11" t="s">
        <v>689</v>
      </c>
      <c r="F127" s="18" t="n">
        <v>45848</v>
      </c>
      <c r="G127" s="18" t="n">
        <v>45855</v>
      </c>
      <c r="H127" s="12" t="n">
        <v>200</v>
      </c>
      <c r="I127" s="19" t="n">
        <v>2950</v>
      </c>
      <c r="J127" s="20" t="n">
        <v>0</v>
      </c>
      <c r="K127" s="19" t="n">
        <f aca="false">I127*H127*J127/100</f>
        <v>0</v>
      </c>
      <c r="L127" s="19" t="n">
        <f aca="false">I127*H127-K127</f>
        <v>590000</v>
      </c>
      <c r="M127" s="19" t="n">
        <f aca="false">L127*0.12</f>
        <v>70800</v>
      </c>
      <c r="N127" s="19" t="n">
        <f aca="false">L127+M127</f>
        <v>660800</v>
      </c>
      <c r="O127" s="12" t="s">
        <v>24</v>
      </c>
      <c r="P127" s="12" t="s">
        <v>358</v>
      </c>
      <c r="Q127" s="17" t="s">
        <v>342</v>
      </c>
      <c r="R127" s="11" t="s">
        <v>690</v>
      </c>
    </row>
    <row r="128" customFormat="false" ht="21.75" hidden="false" customHeight="true" outlineLevel="0" collapsed="false">
      <c r="A128" s="4" t="s">
        <v>691</v>
      </c>
      <c r="B128" s="7" t="s">
        <v>126</v>
      </c>
      <c r="C128" s="5" t="s">
        <v>127</v>
      </c>
      <c r="D128" s="5" t="s">
        <v>128</v>
      </c>
      <c r="E128" s="6" t="s">
        <v>487</v>
      </c>
      <c r="F128" s="14" t="n">
        <v>45866</v>
      </c>
      <c r="G128" s="14" t="n">
        <v>45869</v>
      </c>
      <c r="H128" s="7" t="n">
        <v>32000</v>
      </c>
      <c r="I128" s="15" t="n">
        <v>77.1</v>
      </c>
      <c r="J128" s="16" t="n">
        <v>0</v>
      </c>
      <c r="K128" s="15" t="n">
        <f aca="false">I128*H128*J128/100</f>
        <v>0</v>
      </c>
      <c r="L128" s="15" t="n">
        <f aca="false">I128*H128-K128</f>
        <v>2467200</v>
      </c>
      <c r="M128" s="15" t="n">
        <f aca="false">L128*0.12</f>
        <v>296064</v>
      </c>
      <c r="N128" s="15" t="n">
        <f aca="false">L128+M128</f>
        <v>2763264</v>
      </c>
      <c r="O128" s="7" t="s">
        <v>134</v>
      </c>
      <c r="P128" s="7" t="s">
        <v>364</v>
      </c>
      <c r="Q128" s="17" t="s">
        <v>342</v>
      </c>
      <c r="R128" s="6" t="s">
        <v>692</v>
      </c>
    </row>
    <row r="129" customFormat="false" ht="21.75" hidden="false" customHeight="true" outlineLevel="0" collapsed="false">
      <c r="A129" s="9" t="s">
        <v>693</v>
      </c>
      <c r="B129" s="12" t="s">
        <v>82</v>
      </c>
      <c r="C129" s="10" t="s">
        <v>83</v>
      </c>
      <c r="D129" s="10" t="s">
        <v>84</v>
      </c>
      <c r="E129" s="11" t="s">
        <v>694</v>
      </c>
      <c r="F129" s="18" t="n">
        <v>45873</v>
      </c>
      <c r="G129" s="18" t="n">
        <v>45887</v>
      </c>
      <c r="H129" s="12" t="n">
        <v>4</v>
      </c>
      <c r="I129" s="19" t="n">
        <v>850000</v>
      </c>
      <c r="J129" s="20" t="n">
        <v>5</v>
      </c>
      <c r="K129" s="19" t="n">
        <f aca="false">I129*H129*J129/100</f>
        <v>170000</v>
      </c>
      <c r="L129" s="19" t="n">
        <f aca="false">I129*H129-K129</f>
        <v>3230000</v>
      </c>
      <c r="M129" s="19" t="n">
        <f aca="false">L129*0.12</f>
        <v>387600</v>
      </c>
      <c r="N129" s="19" t="n">
        <f aca="false">L129+M129</f>
        <v>3617600</v>
      </c>
      <c r="O129" s="12" t="s">
        <v>35</v>
      </c>
      <c r="P129" s="12" t="s">
        <v>341</v>
      </c>
      <c r="Q129" s="17" t="s">
        <v>342</v>
      </c>
      <c r="R129" s="11" t="s">
        <v>695</v>
      </c>
    </row>
    <row r="130" customFormat="false" ht="21.75" hidden="false" customHeight="true" outlineLevel="0" collapsed="false">
      <c r="A130" s="4" t="s">
        <v>696</v>
      </c>
      <c r="B130" s="7" t="s">
        <v>37</v>
      </c>
      <c r="C130" s="5" t="s">
        <v>38</v>
      </c>
      <c r="D130" s="5" t="s">
        <v>18</v>
      </c>
      <c r="E130" s="6" t="s">
        <v>697</v>
      </c>
      <c r="F130" s="14" t="n">
        <v>45875</v>
      </c>
      <c r="G130" s="14" t="n">
        <v>45882</v>
      </c>
      <c r="H130" s="7" t="n">
        <v>800</v>
      </c>
      <c r="I130" s="15" t="n">
        <v>5500</v>
      </c>
      <c r="J130" s="16" t="n">
        <v>0</v>
      </c>
      <c r="K130" s="15" t="n">
        <f aca="false">I130*H130*J130/100</f>
        <v>0</v>
      </c>
      <c r="L130" s="15" t="n">
        <f aca="false">I130*H130-K130</f>
        <v>4400000</v>
      </c>
      <c r="M130" s="15" t="n">
        <f aca="false">L130*0.12</f>
        <v>528000</v>
      </c>
      <c r="N130" s="15" t="n">
        <f aca="false">L130+M130</f>
        <v>4928000</v>
      </c>
      <c r="O130" s="7" t="s">
        <v>24</v>
      </c>
      <c r="P130" s="7" t="s">
        <v>341</v>
      </c>
      <c r="Q130" s="17" t="s">
        <v>342</v>
      </c>
      <c r="R130" s="6" t="s">
        <v>698</v>
      </c>
    </row>
    <row r="131" customFormat="false" ht="21.75" hidden="false" customHeight="true" outlineLevel="0" collapsed="false">
      <c r="A131" s="9" t="s">
        <v>699</v>
      </c>
      <c r="B131" s="12" t="s">
        <v>306</v>
      </c>
      <c r="C131" s="10" t="s">
        <v>307</v>
      </c>
      <c r="D131" s="10" t="s">
        <v>308</v>
      </c>
      <c r="E131" s="11" t="s">
        <v>372</v>
      </c>
      <c r="F131" s="18" t="n">
        <v>45877</v>
      </c>
      <c r="G131" s="18" t="n">
        <v>45884</v>
      </c>
      <c r="H131" s="12" t="n">
        <v>400</v>
      </c>
      <c r="I131" s="19" t="n">
        <v>2300</v>
      </c>
      <c r="J131" s="20" t="n">
        <v>0</v>
      </c>
      <c r="K131" s="19" t="n">
        <f aca="false">I131*H131*J131/100</f>
        <v>0</v>
      </c>
      <c r="L131" s="19" t="n">
        <f aca="false">I131*H131-K131</f>
        <v>920000</v>
      </c>
      <c r="M131" s="19" t="n">
        <f aca="false">L131*0.12</f>
        <v>110400</v>
      </c>
      <c r="N131" s="19" t="n">
        <f aca="false">L131+M131</f>
        <v>1030400</v>
      </c>
      <c r="O131" s="12" t="s">
        <v>24</v>
      </c>
      <c r="P131" s="12" t="s">
        <v>351</v>
      </c>
      <c r="Q131" s="17" t="s">
        <v>342</v>
      </c>
      <c r="R131" s="11" t="s">
        <v>700</v>
      </c>
    </row>
    <row r="132" customFormat="false" ht="21.75" hidden="false" customHeight="true" outlineLevel="0" collapsed="false">
      <c r="A132" s="4" t="s">
        <v>701</v>
      </c>
      <c r="B132" s="7" t="s">
        <v>157</v>
      </c>
      <c r="C132" s="5" t="s">
        <v>158</v>
      </c>
      <c r="D132" s="5" t="s">
        <v>151</v>
      </c>
      <c r="E132" s="6" t="s">
        <v>702</v>
      </c>
      <c r="F132" s="14" t="n">
        <v>45881</v>
      </c>
      <c r="G132" s="14" t="n">
        <v>45888</v>
      </c>
      <c r="H132" s="7" t="n">
        <v>30</v>
      </c>
      <c r="I132" s="15" t="n">
        <v>32000</v>
      </c>
      <c r="J132" s="16" t="n">
        <v>5</v>
      </c>
      <c r="K132" s="15" t="n">
        <f aca="false">I132*H132*J132/100</f>
        <v>48000</v>
      </c>
      <c r="L132" s="15" t="n">
        <f aca="false">I132*H132-K132</f>
        <v>912000</v>
      </c>
      <c r="M132" s="15" t="n">
        <f aca="false">L132*0.12</f>
        <v>109440</v>
      </c>
      <c r="N132" s="15" t="n">
        <f aca="false">L132+M132</f>
        <v>1021440</v>
      </c>
      <c r="O132" s="7" t="s">
        <v>24</v>
      </c>
      <c r="P132" s="7" t="s">
        <v>378</v>
      </c>
      <c r="Q132" s="17" t="s">
        <v>342</v>
      </c>
      <c r="R132" s="6" t="s">
        <v>703</v>
      </c>
    </row>
    <row r="133" customFormat="false" ht="21.75" hidden="false" customHeight="true" outlineLevel="0" collapsed="false">
      <c r="A133" s="9" t="s">
        <v>704</v>
      </c>
      <c r="B133" s="12" t="s">
        <v>237</v>
      </c>
      <c r="C133" s="10" t="s">
        <v>238</v>
      </c>
      <c r="D133" s="10" t="s">
        <v>239</v>
      </c>
      <c r="E133" s="11" t="s">
        <v>705</v>
      </c>
      <c r="F133" s="18" t="n">
        <v>45884</v>
      </c>
      <c r="G133" s="18" t="n">
        <v>45889</v>
      </c>
      <c r="H133" s="12" t="n">
        <v>600</v>
      </c>
      <c r="I133" s="19" t="n">
        <v>598</v>
      </c>
      <c r="J133" s="20" t="n">
        <v>0</v>
      </c>
      <c r="K133" s="19" t="n">
        <f aca="false">I133*H133*J133/100</f>
        <v>0</v>
      </c>
      <c r="L133" s="19" t="n">
        <f aca="false">I133*H133-K133</f>
        <v>358800</v>
      </c>
      <c r="M133" s="19" t="n">
        <f aca="false">L133*0.12</f>
        <v>43056</v>
      </c>
      <c r="N133" s="19" t="n">
        <f aca="false">L133+M133</f>
        <v>401856</v>
      </c>
      <c r="O133" s="12" t="s">
        <v>24</v>
      </c>
      <c r="P133" s="12" t="s">
        <v>351</v>
      </c>
      <c r="Q133" s="17" t="s">
        <v>342</v>
      </c>
      <c r="R133" s="11" t="s">
        <v>706</v>
      </c>
    </row>
    <row r="134" customFormat="false" ht="21.75" hidden="false" customHeight="true" outlineLevel="0" collapsed="false">
      <c r="A134" s="4" t="s">
        <v>707</v>
      </c>
      <c r="B134" s="7" t="s">
        <v>135</v>
      </c>
      <c r="C134" s="5" t="s">
        <v>136</v>
      </c>
      <c r="D134" s="5" t="s">
        <v>128</v>
      </c>
      <c r="E134" s="6" t="s">
        <v>487</v>
      </c>
      <c r="F134" s="14" t="n">
        <v>45896</v>
      </c>
      <c r="G134" s="14" t="n">
        <v>45899</v>
      </c>
      <c r="H134" s="7" t="n">
        <v>35000</v>
      </c>
      <c r="I134" s="15" t="n">
        <v>78.2</v>
      </c>
      <c r="J134" s="16" t="n">
        <v>0</v>
      </c>
      <c r="K134" s="15" t="n">
        <f aca="false">I134*H134*J134/100</f>
        <v>0</v>
      </c>
      <c r="L134" s="15" t="n">
        <f aca="false">I134*H134-K134</f>
        <v>2737000</v>
      </c>
      <c r="M134" s="15" t="n">
        <f aca="false">L134*0.12</f>
        <v>328440</v>
      </c>
      <c r="N134" s="15" t="n">
        <f aca="false">L134+M134</f>
        <v>3065440</v>
      </c>
      <c r="O134" s="7" t="s">
        <v>134</v>
      </c>
      <c r="P134" s="7" t="s">
        <v>364</v>
      </c>
      <c r="Q134" s="17" t="s">
        <v>342</v>
      </c>
      <c r="R134" s="6" t="s">
        <v>708</v>
      </c>
    </row>
    <row r="135" customFormat="false" ht="21.75" hidden="false" customHeight="true" outlineLevel="0" collapsed="false">
      <c r="A135" s="9" t="s">
        <v>709</v>
      </c>
      <c r="B135" s="12" t="s">
        <v>230</v>
      </c>
      <c r="C135" s="10" t="s">
        <v>231</v>
      </c>
      <c r="D135" s="10" t="s">
        <v>18</v>
      </c>
      <c r="E135" s="11" t="s">
        <v>710</v>
      </c>
      <c r="F135" s="18" t="n">
        <v>45902</v>
      </c>
      <c r="G135" s="18" t="n">
        <v>45912</v>
      </c>
      <c r="H135" s="12" t="n">
        <v>3000</v>
      </c>
      <c r="I135" s="19" t="n">
        <v>325</v>
      </c>
      <c r="J135" s="20" t="n">
        <v>1</v>
      </c>
      <c r="K135" s="19" t="n">
        <f aca="false">I135*H135*J135/100</f>
        <v>9750</v>
      </c>
      <c r="L135" s="19" t="n">
        <f aca="false">I135*H135-K135</f>
        <v>965250</v>
      </c>
      <c r="M135" s="19" t="n">
        <f aca="false">L135*0.12</f>
        <v>115830</v>
      </c>
      <c r="N135" s="19" t="n">
        <f aca="false">L135+M135</f>
        <v>1081080</v>
      </c>
      <c r="O135" s="12" t="s">
        <v>24</v>
      </c>
      <c r="P135" s="12" t="s">
        <v>341</v>
      </c>
      <c r="Q135" s="17" t="s">
        <v>342</v>
      </c>
      <c r="R135" s="11" t="s">
        <v>711</v>
      </c>
    </row>
    <row r="136" customFormat="false" ht="21.75" hidden="false" customHeight="true" outlineLevel="0" collapsed="false">
      <c r="A136" s="4" t="s">
        <v>712</v>
      </c>
      <c r="B136" s="7" t="s">
        <v>52</v>
      </c>
      <c r="C136" s="5" t="s">
        <v>53</v>
      </c>
      <c r="D136" s="5" t="s">
        <v>46</v>
      </c>
      <c r="E136" s="6" t="s">
        <v>713</v>
      </c>
      <c r="F136" s="14" t="n">
        <v>45905</v>
      </c>
      <c r="G136" s="14" t="n">
        <v>45919</v>
      </c>
      <c r="H136" s="7" t="n">
        <v>1500</v>
      </c>
      <c r="I136" s="15" t="n">
        <v>620</v>
      </c>
      <c r="J136" s="16" t="n">
        <v>1</v>
      </c>
      <c r="K136" s="15" t="n">
        <f aca="false">I136*H136*J136/100</f>
        <v>9300</v>
      </c>
      <c r="L136" s="15" t="n">
        <f aca="false">I136*H136-K136</f>
        <v>920700</v>
      </c>
      <c r="M136" s="15" t="n">
        <f aca="false">L136*0.12</f>
        <v>110484</v>
      </c>
      <c r="N136" s="15" t="n">
        <f aca="false">L136+M136</f>
        <v>1031184</v>
      </c>
      <c r="O136" s="7" t="s">
        <v>35</v>
      </c>
      <c r="P136" s="7" t="s">
        <v>341</v>
      </c>
      <c r="Q136" s="17" t="s">
        <v>342</v>
      </c>
      <c r="R136" s="6" t="s">
        <v>714</v>
      </c>
    </row>
    <row r="137" customFormat="false" ht="21.75" hidden="false" customHeight="true" outlineLevel="0" collapsed="false">
      <c r="A137" s="9" t="s">
        <v>715</v>
      </c>
      <c r="B137" s="12" t="s">
        <v>314</v>
      </c>
      <c r="C137" s="10" t="s">
        <v>315</v>
      </c>
      <c r="D137" s="10" t="s">
        <v>316</v>
      </c>
      <c r="E137" s="11" t="s">
        <v>716</v>
      </c>
      <c r="F137" s="18" t="n">
        <v>45909</v>
      </c>
      <c r="G137" s="18" t="n">
        <v>45916</v>
      </c>
      <c r="H137" s="12" t="n">
        <v>300</v>
      </c>
      <c r="I137" s="19" t="n">
        <v>1950</v>
      </c>
      <c r="J137" s="20" t="n">
        <v>0</v>
      </c>
      <c r="K137" s="19" t="n">
        <f aca="false">I137*H137*J137/100</f>
        <v>0</v>
      </c>
      <c r="L137" s="19" t="n">
        <f aca="false">I137*H137-K137</f>
        <v>585000</v>
      </c>
      <c r="M137" s="19" t="n">
        <f aca="false">L137*0.12</f>
        <v>70200</v>
      </c>
      <c r="N137" s="19" t="n">
        <f aca="false">L137+M137</f>
        <v>655200</v>
      </c>
      <c r="O137" s="12" t="s">
        <v>24</v>
      </c>
      <c r="P137" s="12" t="s">
        <v>351</v>
      </c>
      <c r="Q137" s="17" t="s">
        <v>342</v>
      </c>
      <c r="R137" s="11" t="s">
        <v>717</v>
      </c>
    </row>
    <row r="138" customFormat="false" ht="21.75" hidden="false" customHeight="true" outlineLevel="0" collapsed="false">
      <c r="A138" s="4" t="s">
        <v>718</v>
      </c>
      <c r="B138" s="7" t="s">
        <v>185</v>
      </c>
      <c r="C138" s="5" t="s">
        <v>186</v>
      </c>
      <c r="D138" s="5" t="s">
        <v>187</v>
      </c>
      <c r="E138" s="6" t="s">
        <v>719</v>
      </c>
      <c r="F138" s="14" t="n">
        <v>45911</v>
      </c>
      <c r="G138" s="14" t="n">
        <v>45914</v>
      </c>
      <c r="H138" s="7" t="n">
        <v>30</v>
      </c>
      <c r="I138" s="15" t="n">
        <v>1250</v>
      </c>
      <c r="J138" s="16" t="n">
        <v>0</v>
      </c>
      <c r="K138" s="15" t="n">
        <f aca="false">I138*H138*J138/100</f>
        <v>0</v>
      </c>
      <c r="L138" s="15" t="n">
        <f aca="false">I138*H138-K138</f>
        <v>37500</v>
      </c>
      <c r="M138" s="15" t="n">
        <f aca="false">L138*0.12</f>
        <v>4500</v>
      </c>
      <c r="N138" s="15" t="n">
        <f aca="false">L138+M138</f>
        <v>42000</v>
      </c>
      <c r="O138" s="7" t="s">
        <v>24</v>
      </c>
      <c r="P138" s="7" t="s">
        <v>382</v>
      </c>
      <c r="Q138" s="17" t="s">
        <v>342</v>
      </c>
      <c r="R138" s="6" t="s">
        <v>720</v>
      </c>
    </row>
    <row r="139" customFormat="false" ht="21.75" hidden="false" customHeight="true" outlineLevel="0" collapsed="false">
      <c r="A139" s="9" t="s">
        <v>721</v>
      </c>
      <c r="B139" s="12" t="s">
        <v>126</v>
      </c>
      <c r="C139" s="10" t="s">
        <v>127</v>
      </c>
      <c r="D139" s="10" t="s">
        <v>128</v>
      </c>
      <c r="E139" s="11" t="s">
        <v>487</v>
      </c>
      <c r="F139" s="18" t="n">
        <v>45926</v>
      </c>
      <c r="G139" s="18" t="n">
        <v>45929</v>
      </c>
      <c r="H139" s="12" t="n">
        <v>32000</v>
      </c>
      <c r="I139" s="19" t="n">
        <v>78.5</v>
      </c>
      <c r="J139" s="20" t="n">
        <v>0</v>
      </c>
      <c r="K139" s="19" t="n">
        <f aca="false">I139*H139*J139/100</f>
        <v>0</v>
      </c>
      <c r="L139" s="19" t="n">
        <f aca="false">I139*H139-K139</f>
        <v>2512000</v>
      </c>
      <c r="M139" s="19" t="n">
        <f aca="false">L139*0.12</f>
        <v>301440</v>
      </c>
      <c r="N139" s="19" t="n">
        <f aca="false">L139+M139</f>
        <v>2813440</v>
      </c>
      <c r="O139" s="12" t="s">
        <v>134</v>
      </c>
      <c r="P139" s="12" t="s">
        <v>364</v>
      </c>
      <c r="Q139" s="17" t="s">
        <v>342</v>
      </c>
      <c r="R139" s="11" t="s">
        <v>722</v>
      </c>
    </row>
    <row r="140" customFormat="false" ht="21.75" hidden="false" customHeight="true" outlineLevel="0" collapsed="false">
      <c r="A140" s="4" t="s">
        <v>723</v>
      </c>
      <c r="B140" s="7" t="s">
        <v>97</v>
      </c>
      <c r="C140" s="5" t="s">
        <v>98</v>
      </c>
      <c r="D140" s="5" t="s">
        <v>84</v>
      </c>
      <c r="E140" s="6" t="s">
        <v>724</v>
      </c>
      <c r="F140" s="14" t="n">
        <v>45936</v>
      </c>
      <c r="G140" s="14" t="n">
        <v>45950</v>
      </c>
      <c r="H140" s="7" t="n">
        <v>5</v>
      </c>
      <c r="I140" s="15" t="n">
        <v>285000</v>
      </c>
      <c r="J140" s="16" t="n">
        <v>3</v>
      </c>
      <c r="K140" s="15" t="n">
        <f aca="false">I140*H140*J140/100</f>
        <v>42750</v>
      </c>
      <c r="L140" s="15" t="n">
        <f aca="false">I140*H140-K140</f>
        <v>1382250</v>
      </c>
      <c r="M140" s="15" t="n">
        <f aca="false">L140*0.12</f>
        <v>165870</v>
      </c>
      <c r="N140" s="15" t="n">
        <f aca="false">L140+M140</f>
        <v>1548120</v>
      </c>
      <c r="O140" s="7" t="s">
        <v>24</v>
      </c>
      <c r="P140" s="7" t="s">
        <v>341</v>
      </c>
      <c r="Q140" s="17" t="s">
        <v>342</v>
      </c>
      <c r="R140" s="6" t="s">
        <v>725</v>
      </c>
    </row>
    <row r="141" customFormat="false" ht="21.75" hidden="false" customHeight="true" outlineLevel="0" collapsed="false">
      <c r="A141" s="9" t="s">
        <v>726</v>
      </c>
      <c r="B141" s="12" t="s">
        <v>16</v>
      </c>
      <c r="C141" s="10" t="s">
        <v>17</v>
      </c>
      <c r="D141" s="10" t="s">
        <v>18</v>
      </c>
      <c r="E141" s="11" t="s">
        <v>585</v>
      </c>
      <c r="F141" s="18" t="n">
        <v>45938</v>
      </c>
      <c r="G141" s="18" t="n">
        <v>45945</v>
      </c>
      <c r="H141" s="12" t="n">
        <v>7000</v>
      </c>
      <c r="I141" s="19" t="n">
        <v>312</v>
      </c>
      <c r="J141" s="20" t="n">
        <v>2</v>
      </c>
      <c r="K141" s="19" t="n">
        <f aca="false">I141*H141*J141/100</f>
        <v>43680</v>
      </c>
      <c r="L141" s="19" t="n">
        <f aca="false">I141*H141-K141</f>
        <v>2140320</v>
      </c>
      <c r="M141" s="19" t="n">
        <f aca="false">L141*0.12</f>
        <v>256838.4</v>
      </c>
      <c r="N141" s="19" t="n">
        <f aca="false">L141+M141</f>
        <v>2397158.4</v>
      </c>
      <c r="O141" s="12" t="s">
        <v>24</v>
      </c>
      <c r="P141" s="12" t="s">
        <v>341</v>
      </c>
      <c r="Q141" s="17" t="s">
        <v>342</v>
      </c>
      <c r="R141" s="11" t="s">
        <v>727</v>
      </c>
    </row>
    <row r="142" customFormat="false" ht="21.75" hidden="false" customHeight="true" outlineLevel="0" collapsed="false">
      <c r="A142" s="4" t="s">
        <v>728</v>
      </c>
      <c r="B142" s="7" t="s">
        <v>44</v>
      </c>
      <c r="C142" s="5" t="s">
        <v>45</v>
      </c>
      <c r="D142" s="5" t="s">
        <v>46</v>
      </c>
      <c r="E142" s="6" t="s">
        <v>729</v>
      </c>
      <c r="F142" s="14" t="n">
        <v>45940</v>
      </c>
      <c r="G142" s="14" t="n">
        <v>45954</v>
      </c>
      <c r="H142" s="7" t="n">
        <v>3000</v>
      </c>
      <c r="I142" s="15" t="n">
        <v>720</v>
      </c>
      <c r="J142" s="16" t="n">
        <v>2</v>
      </c>
      <c r="K142" s="15" t="n">
        <f aca="false">I142*H142*J142/100</f>
        <v>43200</v>
      </c>
      <c r="L142" s="15" t="n">
        <f aca="false">I142*H142-K142</f>
        <v>2116800</v>
      </c>
      <c r="M142" s="15" t="n">
        <f aca="false">L142*0.12</f>
        <v>254016</v>
      </c>
      <c r="N142" s="15" t="n">
        <f aca="false">L142+M142</f>
        <v>2370816</v>
      </c>
      <c r="O142" s="7" t="s">
        <v>24</v>
      </c>
      <c r="P142" s="7" t="s">
        <v>341</v>
      </c>
      <c r="Q142" s="17" t="s">
        <v>342</v>
      </c>
      <c r="R142" s="6" t="s">
        <v>730</v>
      </c>
    </row>
    <row r="143" customFormat="false" ht="21.75" hidden="false" customHeight="true" outlineLevel="0" collapsed="false">
      <c r="A143" s="9" t="s">
        <v>731</v>
      </c>
      <c r="B143" s="12" t="s">
        <v>67</v>
      </c>
      <c r="C143" s="10" t="s">
        <v>68</v>
      </c>
      <c r="D143" s="10" t="s">
        <v>69</v>
      </c>
      <c r="E143" s="11" t="s">
        <v>732</v>
      </c>
      <c r="F143" s="18" t="n">
        <v>45943</v>
      </c>
      <c r="G143" s="18" t="n">
        <v>45946</v>
      </c>
      <c r="H143" s="12" t="n">
        <v>2000</v>
      </c>
      <c r="I143" s="19" t="n">
        <v>1850</v>
      </c>
      <c r="J143" s="20" t="n">
        <v>0</v>
      </c>
      <c r="K143" s="19" t="n">
        <f aca="false">I143*H143*J143/100</f>
        <v>0</v>
      </c>
      <c r="L143" s="19" t="n">
        <f aca="false">I143*H143-K143</f>
        <v>3700000</v>
      </c>
      <c r="M143" s="19" t="n">
        <f aca="false">L143*0.12</f>
        <v>444000</v>
      </c>
      <c r="N143" s="19" t="n">
        <f aca="false">L143+M143</f>
        <v>4144000</v>
      </c>
      <c r="O143" s="12" t="s">
        <v>24</v>
      </c>
      <c r="P143" s="12" t="s">
        <v>351</v>
      </c>
      <c r="Q143" s="17" t="s">
        <v>342</v>
      </c>
      <c r="R143" s="11" t="s">
        <v>733</v>
      </c>
    </row>
    <row r="144" customFormat="false" ht="21.75" hidden="false" customHeight="true" outlineLevel="0" collapsed="false">
      <c r="A144" s="4" t="s">
        <v>734</v>
      </c>
      <c r="B144" s="7" t="s">
        <v>67</v>
      </c>
      <c r="C144" s="5" t="s">
        <v>68</v>
      </c>
      <c r="D144" s="5" t="s">
        <v>69</v>
      </c>
      <c r="E144" s="6" t="s">
        <v>735</v>
      </c>
      <c r="F144" s="14" t="n">
        <v>45943</v>
      </c>
      <c r="G144" s="14" t="n">
        <v>45946</v>
      </c>
      <c r="H144" s="7" t="n">
        <v>1500</v>
      </c>
      <c r="I144" s="15" t="n">
        <v>1650</v>
      </c>
      <c r="J144" s="16" t="n">
        <v>0</v>
      </c>
      <c r="K144" s="15" t="n">
        <f aca="false">I144*H144*J144/100</f>
        <v>0</v>
      </c>
      <c r="L144" s="15" t="n">
        <f aca="false">I144*H144-K144</f>
        <v>2475000</v>
      </c>
      <c r="M144" s="15" t="n">
        <f aca="false">L144*0.12</f>
        <v>297000</v>
      </c>
      <c r="N144" s="15" t="n">
        <f aca="false">L144+M144</f>
        <v>2772000</v>
      </c>
      <c r="O144" s="7" t="s">
        <v>24</v>
      </c>
      <c r="P144" s="7" t="s">
        <v>351</v>
      </c>
      <c r="Q144" s="17" t="s">
        <v>342</v>
      </c>
      <c r="R144" s="6" t="s">
        <v>733</v>
      </c>
    </row>
    <row r="145" customFormat="false" ht="21.75" hidden="false" customHeight="true" outlineLevel="0" collapsed="false">
      <c r="A145" s="9" t="s">
        <v>736</v>
      </c>
      <c r="B145" s="12" t="s">
        <v>135</v>
      </c>
      <c r="C145" s="10" t="s">
        <v>136</v>
      </c>
      <c r="D145" s="10" t="s">
        <v>128</v>
      </c>
      <c r="E145" s="11" t="s">
        <v>487</v>
      </c>
      <c r="F145" s="18" t="n">
        <v>45958</v>
      </c>
      <c r="G145" s="18" t="n">
        <v>45961</v>
      </c>
      <c r="H145" s="12" t="n">
        <v>35000</v>
      </c>
      <c r="I145" s="19" t="n">
        <v>79.1</v>
      </c>
      <c r="J145" s="20" t="n">
        <v>0</v>
      </c>
      <c r="K145" s="19" t="n">
        <f aca="false">I145*H145*J145/100</f>
        <v>0</v>
      </c>
      <c r="L145" s="19" t="n">
        <f aca="false">I145*H145-K145</f>
        <v>2768500</v>
      </c>
      <c r="M145" s="19" t="n">
        <f aca="false">L145*0.12</f>
        <v>332220</v>
      </c>
      <c r="N145" s="19" t="n">
        <f aca="false">L145+M145</f>
        <v>3100720</v>
      </c>
      <c r="O145" s="12" t="s">
        <v>134</v>
      </c>
      <c r="P145" s="12" t="s">
        <v>364</v>
      </c>
      <c r="Q145" s="17" t="s">
        <v>342</v>
      </c>
      <c r="R145" s="11" t="s">
        <v>737</v>
      </c>
    </row>
    <row r="146" customFormat="false" ht="21.75" hidden="false" customHeight="true" outlineLevel="0" collapsed="false">
      <c r="A146" s="4" t="s">
        <v>738</v>
      </c>
      <c r="B146" s="7" t="s">
        <v>164</v>
      </c>
      <c r="C146" s="5" t="s">
        <v>165</v>
      </c>
      <c r="D146" s="5" t="s">
        <v>151</v>
      </c>
      <c r="E146" s="6" t="s">
        <v>739</v>
      </c>
      <c r="F146" s="14" t="n">
        <v>45964</v>
      </c>
      <c r="G146" s="14" t="n">
        <v>45971</v>
      </c>
      <c r="H146" s="7" t="n">
        <v>15</v>
      </c>
      <c r="I146" s="15" t="n">
        <v>42000</v>
      </c>
      <c r="J146" s="16" t="n">
        <v>5</v>
      </c>
      <c r="K146" s="15" t="n">
        <f aca="false">I146*H146*J146/100</f>
        <v>31500</v>
      </c>
      <c r="L146" s="15" t="n">
        <f aca="false">I146*H146-K146</f>
        <v>598500</v>
      </c>
      <c r="M146" s="15" t="n">
        <f aca="false">L146*0.12</f>
        <v>71820</v>
      </c>
      <c r="N146" s="15" t="n">
        <f aca="false">L146+M146</f>
        <v>670320</v>
      </c>
      <c r="O146" s="7" t="s">
        <v>24</v>
      </c>
      <c r="P146" s="7" t="s">
        <v>378</v>
      </c>
      <c r="Q146" s="17" t="s">
        <v>342</v>
      </c>
      <c r="R146" s="6" t="s">
        <v>740</v>
      </c>
    </row>
    <row r="147" customFormat="false" ht="21.75" hidden="false" customHeight="true" outlineLevel="0" collapsed="false">
      <c r="A147" s="9" t="s">
        <v>741</v>
      </c>
      <c r="B147" s="12" t="s">
        <v>119</v>
      </c>
      <c r="C147" s="10" t="s">
        <v>120</v>
      </c>
      <c r="D147" s="10" t="s">
        <v>113</v>
      </c>
      <c r="E147" s="11" t="s">
        <v>742</v>
      </c>
      <c r="F147" s="18" t="n">
        <v>45966</v>
      </c>
      <c r="G147" s="18" t="n">
        <v>45973</v>
      </c>
      <c r="H147" s="12" t="n">
        <v>30</v>
      </c>
      <c r="I147" s="19" t="n">
        <v>28500</v>
      </c>
      <c r="J147" s="20" t="n">
        <v>0</v>
      </c>
      <c r="K147" s="19" t="n">
        <f aca="false">I147*H147*J147/100</f>
        <v>0</v>
      </c>
      <c r="L147" s="19" t="n">
        <f aca="false">I147*H147-K147</f>
        <v>855000</v>
      </c>
      <c r="M147" s="19" t="n">
        <f aca="false">L147*0.12</f>
        <v>102600</v>
      </c>
      <c r="N147" s="19" t="n">
        <f aca="false">L147+M147</f>
        <v>957600</v>
      </c>
      <c r="O147" s="12" t="s">
        <v>35</v>
      </c>
      <c r="P147" s="12" t="s">
        <v>358</v>
      </c>
      <c r="Q147" s="17" t="s">
        <v>342</v>
      </c>
      <c r="R147" s="11" t="s">
        <v>743</v>
      </c>
    </row>
    <row r="148" customFormat="false" ht="21.75" hidden="false" customHeight="true" outlineLevel="0" collapsed="false">
      <c r="A148" s="4" t="s">
        <v>744</v>
      </c>
      <c r="B148" s="7" t="s">
        <v>275</v>
      </c>
      <c r="C148" s="5" t="s">
        <v>276</v>
      </c>
      <c r="D148" s="5" t="s">
        <v>269</v>
      </c>
      <c r="E148" s="6" t="s">
        <v>745</v>
      </c>
      <c r="F148" s="14" t="n">
        <v>45969</v>
      </c>
      <c r="G148" s="14" t="n">
        <v>45999</v>
      </c>
      <c r="H148" s="7" t="n">
        <v>1</v>
      </c>
      <c r="I148" s="15" t="n">
        <v>18500000</v>
      </c>
      <c r="J148" s="16" t="n">
        <v>0</v>
      </c>
      <c r="K148" s="15" t="n">
        <f aca="false">I148*H148*J148/100</f>
        <v>0</v>
      </c>
      <c r="L148" s="15" t="n">
        <f aca="false">I148*H148-K148</f>
        <v>18500000</v>
      </c>
      <c r="M148" s="15" t="n">
        <f aca="false">L148*0.12</f>
        <v>2220000</v>
      </c>
      <c r="N148" s="15" t="n">
        <f aca="false">L148+M148</f>
        <v>20720000</v>
      </c>
      <c r="O148" s="7" t="s">
        <v>24</v>
      </c>
      <c r="P148" s="7" t="s">
        <v>405</v>
      </c>
      <c r="Q148" s="21" t="s">
        <v>627</v>
      </c>
      <c r="R148" s="6" t="s">
        <v>746</v>
      </c>
    </row>
    <row r="149" customFormat="false" ht="21.75" hidden="false" customHeight="true" outlineLevel="0" collapsed="false">
      <c r="A149" s="9" t="s">
        <v>747</v>
      </c>
      <c r="B149" s="12" t="s">
        <v>245</v>
      </c>
      <c r="C149" s="10" t="s">
        <v>246</v>
      </c>
      <c r="D149" s="10" t="s">
        <v>239</v>
      </c>
      <c r="E149" s="11" t="s">
        <v>748</v>
      </c>
      <c r="F149" s="18" t="n">
        <v>45971</v>
      </c>
      <c r="G149" s="18" t="n">
        <v>45976</v>
      </c>
      <c r="H149" s="12" t="n">
        <v>400</v>
      </c>
      <c r="I149" s="19" t="n">
        <v>1250</v>
      </c>
      <c r="J149" s="20" t="n">
        <v>0</v>
      </c>
      <c r="K149" s="19" t="n">
        <f aca="false">I149*H149*J149/100</f>
        <v>0</v>
      </c>
      <c r="L149" s="19" t="n">
        <f aca="false">I149*H149-K149</f>
        <v>500000</v>
      </c>
      <c r="M149" s="19" t="n">
        <f aca="false">L149*0.12</f>
        <v>60000</v>
      </c>
      <c r="N149" s="19" t="n">
        <f aca="false">L149+M149</f>
        <v>560000</v>
      </c>
      <c r="O149" s="12" t="s">
        <v>24</v>
      </c>
      <c r="P149" s="12" t="s">
        <v>351</v>
      </c>
      <c r="Q149" s="17" t="s">
        <v>342</v>
      </c>
      <c r="R149" s="11" t="s">
        <v>749</v>
      </c>
    </row>
    <row r="150" customFormat="false" ht="21.75" hidden="false" customHeight="true" outlineLevel="0" collapsed="false">
      <c r="A150" s="4" t="s">
        <v>750</v>
      </c>
      <c r="B150" s="7" t="s">
        <v>252</v>
      </c>
      <c r="C150" s="5" t="s">
        <v>253</v>
      </c>
      <c r="D150" s="5" t="s">
        <v>239</v>
      </c>
      <c r="E150" s="6" t="s">
        <v>751</v>
      </c>
      <c r="F150" s="14" t="n">
        <v>45973</v>
      </c>
      <c r="G150" s="14" t="n">
        <v>45980</v>
      </c>
      <c r="H150" s="7" t="n">
        <v>1000</v>
      </c>
      <c r="I150" s="15" t="n">
        <v>180</v>
      </c>
      <c r="J150" s="16" t="n">
        <v>0</v>
      </c>
      <c r="K150" s="15" t="n">
        <f aca="false">I150*H150*J150/100</f>
        <v>0</v>
      </c>
      <c r="L150" s="15" t="n">
        <f aca="false">I150*H150-K150</f>
        <v>180000</v>
      </c>
      <c r="M150" s="15" t="n">
        <f aca="false">L150*0.12</f>
        <v>21600</v>
      </c>
      <c r="N150" s="15" t="n">
        <f aca="false">L150+M150</f>
        <v>201600</v>
      </c>
      <c r="O150" s="7" t="s">
        <v>24</v>
      </c>
      <c r="P150" s="7" t="s">
        <v>351</v>
      </c>
      <c r="Q150" s="17" t="s">
        <v>342</v>
      </c>
      <c r="R150" s="6" t="s">
        <v>752</v>
      </c>
    </row>
    <row r="151" customFormat="false" ht="21.75" hidden="false" customHeight="true" outlineLevel="0" collapsed="false">
      <c r="A151" s="9" t="s">
        <v>753</v>
      </c>
      <c r="B151" s="12" t="s">
        <v>126</v>
      </c>
      <c r="C151" s="10" t="s">
        <v>127</v>
      </c>
      <c r="D151" s="10" t="s">
        <v>128</v>
      </c>
      <c r="E151" s="11" t="s">
        <v>487</v>
      </c>
      <c r="F151" s="18" t="n">
        <v>45988</v>
      </c>
      <c r="G151" s="18" t="n">
        <v>45991</v>
      </c>
      <c r="H151" s="12" t="n">
        <v>35000</v>
      </c>
      <c r="I151" s="19" t="n">
        <v>79.8</v>
      </c>
      <c r="J151" s="20" t="n">
        <v>0</v>
      </c>
      <c r="K151" s="19" t="n">
        <f aca="false">I151*H151*J151/100</f>
        <v>0</v>
      </c>
      <c r="L151" s="19" t="n">
        <f aca="false">I151*H151-K151</f>
        <v>2793000</v>
      </c>
      <c r="M151" s="19" t="n">
        <f aca="false">L151*0.12</f>
        <v>335160</v>
      </c>
      <c r="N151" s="19" t="n">
        <f aca="false">L151+M151</f>
        <v>3128160</v>
      </c>
      <c r="O151" s="12" t="s">
        <v>134</v>
      </c>
      <c r="P151" s="12" t="s">
        <v>364</v>
      </c>
      <c r="Q151" s="17" t="s">
        <v>342</v>
      </c>
      <c r="R151" s="11" t="s">
        <v>754</v>
      </c>
    </row>
    <row r="152" customFormat="false" ht="21.75" hidden="false" customHeight="true" outlineLevel="0" collapsed="false">
      <c r="A152" s="4" t="s">
        <v>755</v>
      </c>
      <c r="B152" s="7" t="s">
        <v>111</v>
      </c>
      <c r="C152" s="5" t="s">
        <v>112</v>
      </c>
      <c r="D152" s="5" t="s">
        <v>113</v>
      </c>
      <c r="E152" s="6" t="s">
        <v>756</v>
      </c>
      <c r="F152" s="14" t="n">
        <v>45992</v>
      </c>
      <c r="G152" s="14" t="n">
        <v>45999</v>
      </c>
      <c r="H152" s="7" t="n">
        <v>50</v>
      </c>
      <c r="I152" s="15" t="n">
        <v>2200</v>
      </c>
      <c r="J152" s="16" t="n">
        <v>0</v>
      </c>
      <c r="K152" s="15" t="n">
        <f aca="false">I152*H152*J152/100</f>
        <v>0</v>
      </c>
      <c r="L152" s="15" t="n">
        <f aca="false">I152*H152-K152</f>
        <v>110000</v>
      </c>
      <c r="M152" s="15" t="n">
        <f aca="false">L152*0.12</f>
        <v>13200</v>
      </c>
      <c r="N152" s="15" t="n">
        <f aca="false">L152+M152</f>
        <v>123200</v>
      </c>
      <c r="O152" s="7" t="s">
        <v>24</v>
      </c>
      <c r="P152" s="7" t="s">
        <v>358</v>
      </c>
      <c r="Q152" s="17" t="s">
        <v>342</v>
      </c>
      <c r="R152" s="6" t="s">
        <v>757</v>
      </c>
    </row>
    <row r="153" customFormat="false" ht="21.75" hidden="false" customHeight="true" outlineLevel="0" collapsed="false">
      <c r="A153" s="9" t="s">
        <v>758</v>
      </c>
      <c r="B153" s="12" t="s">
        <v>82</v>
      </c>
      <c r="C153" s="10" t="s">
        <v>83</v>
      </c>
      <c r="D153" s="10" t="s">
        <v>84</v>
      </c>
      <c r="E153" s="11" t="s">
        <v>759</v>
      </c>
      <c r="F153" s="18" t="n">
        <v>45994</v>
      </c>
      <c r="G153" s="18" t="n">
        <v>46008</v>
      </c>
      <c r="H153" s="12" t="n">
        <v>2</v>
      </c>
      <c r="I153" s="19" t="n">
        <v>1850000</v>
      </c>
      <c r="J153" s="20" t="n">
        <v>5</v>
      </c>
      <c r="K153" s="19" t="n">
        <f aca="false">I153*H153*J153/100</f>
        <v>185000</v>
      </c>
      <c r="L153" s="19" t="n">
        <f aca="false">I153*H153-K153</f>
        <v>3515000</v>
      </c>
      <c r="M153" s="19" t="n">
        <f aca="false">L153*0.12</f>
        <v>421800</v>
      </c>
      <c r="N153" s="19" t="n">
        <f aca="false">L153+M153</f>
        <v>3936800</v>
      </c>
      <c r="O153" s="12" t="s">
        <v>35</v>
      </c>
      <c r="P153" s="12" t="s">
        <v>405</v>
      </c>
      <c r="Q153" s="17" t="s">
        <v>342</v>
      </c>
      <c r="R153" s="11" t="s">
        <v>760</v>
      </c>
    </row>
    <row r="154" customFormat="false" ht="21.75" hidden="false" customHeight="true" outlineLevel="0" collapsed="false">
      <c r="A154" s="4" t="s">
        <v>761</v>
      </c>
      <c r="B154" s="7" t="s">
        <v>16</v>
      </c>
      <c r="C154" s="5" t="s">
        <v>17</v>
      </c>
      <c r="D154" s="5" t="s">
        <v>18</v>
      </c>
      <c r="E154" s="6" t="s">
        <v>585</v>
      </c>
      <c r="F154" s="14" t="n">
        <v>45996</v>
      </c>
      <c r="G154" s="14" t="n">
        <v>46003</v>
      </c>
      <c r="H154" s="7" t="n">
        <v>8000</v>
      </c>
      <c r="I154" s="15" t="n">
        <v>318</v>
      </c>
      <c r="J154" s="16" t="n">
        <v>2</v>
      </c>
      <c r="K154" s="15" t="n">
        <f aca="false">I154*H154*J154/100</f>
        <v>50880</v>
      </c>
      <c r="L154" s="15" t="n">
        <f aca="false">I154*H154-K154</f>
        <v>2493120</v>
      </c>
      <c r="M154" s="15" t="n">
        <f aca="false">L154*0.12</f>
        <v>299174.4</v>
      </c>
      <c r="N154" s="15" t="n">
        <f aca="false">L154+M154</f>
        <v>2792294.4</v>
      </c>
      <c r="O154" s="7" t="s">
        <v>24</v>
      </c>
      <c r="P154" s="7" t="s">
        <v>341</v>
      </c>
      <c r="Q154" s="17" t="s">
        <v>342</v>
      </c>
      <c r="R154" s="6" t="s">
        <v>762</v>
      </c>
    </row>
    <row r="155" customFormat="false" ht="21.75" hidden="false" customHeight="true" outlineLevel="0" collapsed="false">
      <c r="A155" s="9" t="s">
        <v>763</v>
      </c>
      <c r="B155" s="12" t="s">
        <v>306</v>
      </c>
      <c r="C155" s="10" t="s">
        <v>307</v>
      </c>
      <c r="D155" s="10" t="s">
        <v>308</v>
      </c>
      <c r="E155" s="11" t="s">
        <v>369</v>
      </c>
      <c r="F155" s="18" t="n">
        <v>45999</v>
      </c>
      <c r="G155" s="18" t="n">
        <v>46006</v>
      </c>
      <c r="H155" s="12" t="n">
        <v>500</v>
      </c>
      <c r="I155" s="19" t="n">
        <v>1950</v>
      </c>
      <c r="J155" s="20" t="n">
        <v>0</v>
      </c>
      <c r="K155" s="19" t="n">
        <f aca="false">I155*H155*J155/100</f>
        <v>0</v>
      </c>
      <c r="L155" s="19" t="n">
        <f aca="false">I155*H155-K155</f>
        <v>975000</v>
      </c>
      <c r="M155" s="19" t="n">
        <f aca="false">L155*0.12</f>
        <v>117000</v>
      </c>
      <c r="N155" s="19" t="n">
        <f aca="false">L155+M155</f>
        <v>1092000</v>
      </c>
      <c r="O155" s="12" t="s">
        <v>24</v>
      </c>
      <c r="P155" s="12" t="s">
        <v>351</v>
      </c>
      <c r="Q155" s="17" t="s">
        <v>342</v>
      </c>
      <c r="R155" s="11" t="s">
        <v>578</v>
      </c>
    </row>
    <row r="156" customFormat="false" ht="21.75" hidden="false" customHeight="true" outlineLevel="0" collapsed="false">
      <c r="A156" s="4" t="s">
        <v>764</v>
      </c>
      <c r="B156" s="7" t="s">
        <v>135</v>
      </c>
      <c r="C156" s="5" t="s">
        <v>136</v>
      </c>
      <c r="D156" s="5" t="s">
        <v>128</v>
      </c>
      <c r="E156" s="6" t="s">
        <v>487</v>
      </c>
      <c r="F156" s="14" t="n">
        <v>46017</v>
      </c>
      <c r="G156" s="14" t="n">
        <v>46020</v>
      </c>
      <c r="H156" s="7" t="n">
        <v>40000</v>
      </c>
      <c r="I156" s="15" t="n">
        <v>80.5</v>
      </c>
      <c r="J156" s="16" t="n">
        <v>0</v>
      </c>
      <c r="K156" s="15" t="n">
        <f aca="false">I156*H156*J156/100</f>
        <v>0</v>
      </c>
      <c r="L156" s="15" t="n">
        <f aca="false">I156*H156-K156</f>
        <v>3220000</v>
      </c>
      <c r="M156" s="15" t="n">
        <f aca="false">L156*0.12</f>
        <v>386400</v>
      </c>
      <c r="N156" s="15" t="n">
        <f aca="false">L156+M156</f>
        <v>3606400</v>
      </c>
      <c r="O156" s="7" t="s">
        <v>134</v>
      </c>
      <c r="P156" s="7" t="s">
        <v>364</v>
      </c>
      <c r="Q156" s="17" t="s">
        <v>342</v>
      </c>
      <c r="R156" s="6" t="s">
        <v>765</v>
      </c>
    </row>
    <row r="157" customFormat="false" ht="21.75" hidden="false" customHeight="true" outlineLevel="0" collapsed="false">
      <c r="A157" s="9" t="s">
        <v>766</v>
      </c>
      <c r="B157" s="12" t="s">
        <v>16</v>
      </c>
      <c r="C157" s="10" t="s">
        <v>17</v>
      </c>
      <c r="D157" s="10" t="s">
        <v>18</v>
      </c>
      <c r="E157" s="11" t="s">
        <v>585</v>
      </c>
      <c r="F157" s="18" t="n">
        <v>46027</v>
      </c>
      <c r="G157" s="18" t="n">
        <v>46034</v>
      </c>
      <c r="H157" s="12" t="n">
        <v>8000</v>
      </c>
      <c r="I157" s="19" t="n">
        <v>322</v>
      </c>
      <c r="J157" s="20" t="n">
        <v>2</v>
      </c>
      <c r="K157" s="19" t="n">
        <f aca="false">I157*H157*J157/100</f>
        <v>51520</v>
      </c>
      <c r="L157" s="19" t="n">
        <f aca="false">I157*H157-K157</f>
        <v>2524480</v>
      </c>
      <c r="M157" s="19" t="n">
        <f aca="false">L157*0.12</f>
        <v>302937.6</v>
      </c>
      <c r="N157" s="19" t="n">
        <f aca="false">L157+M157</f>
        <v>2827417.6</v>
      </c>
      <c r="O157" s="12" t="s">
        <v>24</v>
      </c>
      <c r="P157" s="12" t="s">
        <v>341</v>
      </c>
      <c r="Q157" s="22" t="s">
        <v>767</v>
      </c>
      <c r="R157" s="11" t="s">
        <v>768</v>
      </c>
    </row>
    <row r="158" customFormat="false" ht="21.75" hidden="false" customHeight="true" outlineLevel="0" collapsed="false">
      <c r="A158" s="4" t="s">
        <v>769</v>
      </c>
      <c r="B158" s="7" t="s">
        <v>44</v>
      </c>
      <c r="C158" s="5" t="s">
        <v>45</v>
      </c>
      <c r="D158" s="5" t="s">
        <v>46</v>
      </c>
      <c r="E158" s="6" t="s">
        <v>770</v>
      </c>
      <c r="F158" s="14" t="n">
        <v>46029</v>
      </c>
      <c r="G158" s="14" t="n">
        <v>46043</v>
      </c>
      <c r="H158" s="7" t="n">
        <v>2500</v>
      </c>
      <c r="I158" s="15" t="n">
        <v>1100</v>
      </c>
      <c r="J158" s="16" t="n">
        <v>2</v>
      </c>
      <c r="K158" s="15" t="n">
        <f aca="false">I158*H158*J158/100</f>
        <v>55000</v>
      </c>
      <c r="L158" s="15" t="n">
        <f aca="false">I158*H158-K158</f>
        <v>2695000</v>
      </c>
      <c r="M158" s="15" t="n">
        <f aca="false">L158*0.12</f>
        <v>323400</v>
      </c>
      <c r="N158" s="15" t="n">
        <f aca="false">L158+M158</f>
        <v>3018400</v>
      </c>
      <c r="O158" s="7" t="s">
        <v>24</v>
      </c>
      <c r="P158" s="7" t="s">
        <v>341</v>
      </c>
      <c r="Q158" s="22" t="s">
        <v>767</v>
      </c>
      <c r="R158" s="6" t="s">
        <v>771</v>
      </c>
    </row>
    <row r="159" customFormat="false" ht="21.75" hidden="false" customHeight="true" outlineLevel="0" collapsed="false">
      <c r="A159" s="9" t="s">
        <v>772</v>
      </c>
      <c r="B159" s="12" t="s">
        <v>82</v>
      </c>
      <c r="C159" s="10" t="s">
        <v>83</v>
      </c>
      <c r="D159" s="10" t="s">
        <v>84</v>
      </c>
      <c r="E159" s="11" t="s">
        <v>773</v>
      </c>
      <c r="F159" s="18" t="n">
        <v>46032</v>
      </c>
      <c r="G159" s="18" t="n">
        <v>46046</v>
      </c>
      <c r="H159" s="12" t="n">
        <v>8</v>
      </c>
      <c r="I159" s="19" t="n">
        <v>185000</v>
      </c>
      <c r="J159" s="20" t="n">
        <v>5</v>
      </c>
      <c r="K159" s="19" t="n">
        <f aca="false">I159*H159*J159/100</f>
        <v>74000</v>
      </c>
      <c r="L159" s="19" t="n">
        <f aca="false">I159*H159-K159</f>
        <v>1406000</v>
      </c>
      <c r="M159" s="19" t="n">
        <f aca="false">L159*0.12</f>
        <v>168720</v>
      </c>
      <c r="N159" s="19" t="n">
        <f aca="false">L159+M159</f>
        <v>1574720</v>
      </c>
      <c r="O159" s="12" t="s">
        <v>35</v>
      </c>
      <c r="P159" s="12" t="s">
        <v>341</v>
      </c>
      <c r="Q159" s="22" t="s">
        <v>767</v>
      </c>
      <c r="R159" s="11" t="s">
        <v>774</v>
      </c>
    </row>
    <row r="160" customFormat="false" ht="21.75" hidden="false" customHeight="true" outlineLevel="0" collapsed="false">
      <c r="A160" s="4" t="s">
        <v>775</v>
      </c>
      <c r="B160" s="7" t="s">
        <v>157</v>
      </c>
      <c r="C160" s="5" t="s">
        <v>158</v>
      </c>
      <c r="D160" s="5" t="s">
        <v>151</v>
      </c>
      <c r="E160" s="6" t="s">
        <v>776</v>
      </c>
      <c r="F160" s="14" t="n">
        <v>46035</v>
      </c>
      <c r="G160" s="14" t="n">
        <v>46042</v>
      </c>
      <c r="H160" s="7" t="n">
        <v>25</v>
      </c>
      <c r="I160" s="15" t="n">
        <v>38000</v>
      </c>
      <c r="J160" s="16" t="n">
        <v>5</v>
      </c>
      <c r="K160" s="15" t="n">
        <f aca="false">I160*H160*J160/100</f>
        <v>47500</v>
      </c>
      <c r="L160" s="15" t="n">
        <f aca="false">I160*H160-K160</f>
        <v>902500</v>
      </c>
      <c r="M160" s="15" t="n">
        <f aca="false">L160*0.12</f>
        <v>108300</v>
      </c>
      <c r="N160" s="15" t="n">
        <f aca="false">L160+M160</f>
        <v>1010800</v>
      </c>
      <c r="O160" s="7" t="s">
        <v>24</v>
      </c>
      <c r="P160" s="7" t="s">
        <v>378</v>
      </c>
      <c r="Q160" s="22" t="s">
        <v>767</v>
      </c>
      <c r="R160" s="6" t="s">
        <v>777</v>
      </c>
    </row>
    <row r="161" customFormat="false" ht="21.75" hidden="false" customHeight="true" outlineLevel="0" collapsed="false">
      <c r="A161" s="9" t="s">
        <v>778</v>
      </c>
      <c r="B161" s="12" t="s">
        <v>111</v>
      </c>
      <c r="C161" s="10" t="s">
        <v>112</v>
      </c>
      <c r="D161" s="10" t="s">
        <v>113</v>
      </c>
      <c r="E161" s="11" t="s">
        <v>779</v>
      </c>
      <c r="F161" s="18" t="n">
        <v>46037</v>
      </c>
      <c r="G161" s="18" t="n">
        <v>46044</v>
      </c>
      <c r="H161" s="12" t="n">
        <v>150</v>
      </c>
      <c r="I161" s="19" t="n">
        <v>4850</v>
      </c>
      <c r="J161" s="20" t="n">
        <v>0</v>
      </c>
      <c r="K161" s="19" t="n">
        <f aca="false">I161*H161*J161/100</f>
        <v>0</v>
      </c>
      <c r="L161" s="19" t="n">
        <f aca="false">I161*H161-K161</f>
        <v>727500</v>
      </c>
      <c r="M161" s="19" t="n">
        <f aca="false">L161*0.12</f>
        <v>87300</v>
      </c>
      <c r="N161" s="19" t="n">
        <f aca="false">L161+M161</f>
        <v>814800</v>
      </c>
      <c r="O161" s="12" t="s">
        <v>24</v>
      </c>
      <c r="P161" s="12" t="s">
        <v>358</v>
      </c>
      <c r="Q161" s="22" t="s">
        <v>767</v>
      </c>
      <c r="R161" s="11" t="s">
        <v>780</v>
      </c>
    </row>
    <row r="162" customFormat="false" ht="21.75" hidden="false" customHeight="true" outlineLevel="0" collapsed="false">
      <c r="A162" s="4" t="s">
        <v>781</v>
      </c>
      <c r="B162" s="7" t="s">
        <v>126</v>
      </c>
      <c r="C162" s="5" t="s">
        <v>127</v>
      </c>
      <c r="D162" s="5" t="s">
        <v>128</v>
      </c>
      <c r="E162" s="6" t="s">
        <v>487</v>
      </c>
      <c r="F162" s="14" t="n">
        <v>46049</v>
      </c>
      <c r="G162" s="14" t="n">
        <v>46052</v>
      </c>
      <c r="H162" s="7" t="n">
        <v>40000</v>
      </c>
      <c r="I162" s="15" t="n">
        <v>81.2</v>
      </c>
      <c r="J162" s="16" t="n">
        <v>0</v>
      </c>
      <c r="K162" s="15" t="n">
        <f aca="false">I162*H162*J162/100</f>
        <v>0</v>
      </c>
      <c r="L162" s="15" t="n">
        <f aca="false">I162*H162-K162</f>
        <v>3248000</v>
      </c>
      <c r="M162" s="15" t="n">
        <f aca="false">L162*0.12</f>
        <v>389760</v>
      </c>
      <c r="N162" s="15" t="n">
        <f aca="false">L162+M162</f>
        <v>3637760</v>
      </c>
      <c r="O162" s="7" t="s">
        <v>134</v>
      </c>
      <c r="P162" s="7" t="s">
        <v>364</v>
      </c>
      <c r="Q162" s="22" t="s">
        <v>767</v>
      </c>
      <c r="R162" s="6" t="s">
        <v>782</v>
      </c>
    </row>
    <row r="163" customFormat="false" ht="21.75" hidden="false" customHeight="true" outlineLevel="0" collapsed="false">
      <c r="A163" s="9" t="s">
        <v>783</v>
      </c>
      <c r="B163" s="12" t="s">
        <v>314</v>
      </c>
      <c r="C163" s="10" t="s">
        <v>315</v>
      </c>
      <c r="D163" s="10" t="s">
        <v>316</v>
      </c>
      <c r="E163" s="11" t="s">
        <v>784</v>
      </c>
      <c r="F163" s="18" t="n">
        <v>46056</v>
      </c>
      <c r="G163" s="18" t="n">
        <v>46063</v>
      </c>
      <c r="H163" s="12" t="n">
        <v>200</v>
      </c>
      <c r="I163" s="19" t="n">
        <v>2850</v>
      </c>
      <c r="J163" s="20" t="n">
        <v>0</v>
      </c>
      <c r="K163" s="19" t="n">
        <f aca="false">I163*H163*J163/100</f>
        <v>0</v>
      </c>
      <c r="L163" s="19" t="n">
        <f aca="false">I163*H163-K163</f>
        <v>570000</v>
      </c>
      <c r="M163" s="19" t="n">
        <f aca="false">L163*0.12</f>
        <v>68400</v>
      </c>
      <c r="N163" s="19" t="n">
        <f aca="false">L163+M163</f>
        <v>638400</v>
      </c>
      <c r="O163" s="12" t="s">
        <v>24</v>
      </c>
      <c r="P163" s="12" t="s">
        <v>351</v>
      </c>
      <c r="Q163" s="23" t="s">
        <v>785</v>
      </c>
      <c r="R163" s="11" t="s">
        <v>786</v>
      </c>
    </row>
    <row r="164" customFormat="false" ht="21.75" hidden="false" customHeight="true" outlineLevel="0" collapsed="false">
      <c r="A164" s="4" t="s">
        <v>787</v>
      </c>
      <c r="B164" s="7" t="s">
        <v>306</v>
      </c>
      <c r="C164" s="5" t="s">
        <v>307</v>
      </c>
      <c r="D164" s="5" t="s">
        <v>308</v>
      </c>
      <c r="E164" s="6" t="s">
        <v>372</v>
      </c>
      <c r="F164" s="14" t="n">
        <v>46058</v>
      </c>
      <c r="G164" s="14" t="n">
        <v>46065</v>
      </c>
      <c r="H164" s="7" t="n">
        <v>500</v>
      </c>
      <c r="I164" s="15" t="n">
        <v>2380</v>
      </c>
      <c r="J164" s="16" t="n">
        <v>0</v>
      </c>
      <c r="K164" s="15" t="n">
        <f aca="false">I164*H164*J164/100</f>
        <v>0</v>
      </c>
      <c r="L164" s="15" t="n">
        <f aca="false">I164*H164-K164</f>
        <v>1190000</v>
      </c>
      <c r="M164" s="15" t="n">
        <f aca="false">L164*0.12</f>
        <v>142800</v>
      </c>
      <c r="N164" s="15" t="n">
        <f aca="false">L164+M164</f>
        <v>1332800</v>
      </c>
      <c r="O164" s="7" t="s">
        <v>24</v>
      </c>
      <c r="P164" s="7" t="s">
        <v>351</v>
      </c>
      <c r="Q164" s="23" t="s">
        <v>785</v>
      </c>
      <c r="R164" s="6" t="s">
        <v>788</v>
      </c>
    </row>
    <row r="165" customFormat="false" ht="21.75" hidden="false" customHeight="true" outlineLevel="0" collapsed="false">
      <c r="A165" s="9" t="s">
        <v>789</v>
      </c>
      <c r="B165" s="12" t="s">
        <v>275</v>
      </c>
      <c r="C165" s="10" t="s">
        <v>276</v>
      </c>
      <c r="D165" s="10" t="s">
        <v>269</v>
      </c>
      <c r="E165" s="11" t="s">
        <v>790</v>
      </c>
      <c r="F165" s="18" t="n">
        <v>46063</v>
      </c>
      <c r="G165" s="18" t="n">
        <v>46091</v>
      </c>
      <c r="H165" s="12" t="n">
        <v>1</v>
      </c>
      <c r="I165" s="19" t="n">
        <v>35000000</v>
      </c>
      <c r="J165" s="20" t="n">
        <v>0</v>
      </c>
      <c r="K165" s="19" t="n">
        <f aca="false">I165*H165*J165/100</f>
        <v>0</v>
      </c>
      <c r="L165" s="19" t="n">
        <f aca="false">I165*H165-K165</f>
        <v>35000000</v>
      </c>
      <c r="M165" s="19" t="n">
        <f aca="false">L165*0.12</f>
        <v>4200000</v>
      </c>
      <c r="N165" s="19" t="n">
        <f aca="false">L165+M165</f>
        <v>39200000</v>
      </c>
      <c r="O165" s="12" t="s">
        <v>24</v>
      </c>
      <c r="P165" s="12" t="s">
        <v>405</v>
      </c>
      <c r="Q165" s="23" t="s">
        <v>785</v>
      </c>
      <c r="R165" s="11" t="s">
        <v>791</v>
      </c>
    </row>
    <row r="166" customFormat="false" ht="21.75" hidden="false" customHeight="true" outlineLevel="0" collapsed="false">
      <c r="A166" s="4" t="s">
        <v>792</v>
      </c>
      <c r="B166" s="7" t="s">
        <v>37</v>
      </c>
      <c r="C166" s="5" t="s">
        <v>38</v>
      </c>
      <c r="D166" s="5" t="s">
        <v>18</v>
      </c>
      <c r="E166" s="6" t="s">
        <v>793</v>
      </c>
      <c r="F166" s="14" t="n">
        <v>46066</v>
      </c>
      <c r="G166" s="14" t="n">
        <v>46073</v>
      </c>
      <c r="H166" s="7" t="n">
        <v>500</v>
      </c>
      <c r="I166" s="15" t="n">
        <v>7800</v>
      </c>
      <c r="J166" s="16" t="n">
        <v>0</v>
      </c>
      <c r="K166" s="15" t="n">
        <f aca="false">I166*H166*J166/100</f>
        <v>0</v>
      </c>
      <c r="L166" s="15" t="n">
        <f aca="false">I166*H166-K166</f>
        <v>3900000</v>
      </c>
      <c r="M166" s="15" t="n">
        <f aca="false">L166*0.12</f>
        <v>468000</v>
      </c>
      <c r="N166" s="15" t="n">
        <f aca="false">L166+M166</f>
        <v>4368000</v>
      </c>
      <c r="O166" s="7" t="s">
        <v>24</v>
      </c>
      <c r="P166" s="7" t="s">
        <v>341</v>
      </c>
      <c r="Q166" s="23" t="s">
        <v>785</v>
      </c>
      <c r="R166" s="6" t="s">
        <v>794</v>
      </c>
    </row>
    <row r="167" customFormat="false" ht="21.75" hidden="false" customHeight="true" outlineLevel="0" collapsed="false">
      <c r="A167" s="9" t="s">
        <v>795</v>
      </c>
      <c r="B167" s="12" t="s">
        <v>135</v>
      </c>
      <c r="C167" s="10" t="s">
        <v>136</v>
      </c>
      <c r="D167" s="10" t="s">
        <v>128</v>
      </c>
      <c r="E167" s="11" t="s">
        <v>487</v>
      </c>
      <c r="F167" s="18" t="n">
        <v>46078</v>
      </c>
      <c r="G167" s="18" t="n">
        <v>46081</v>
      </c>
      <c r="H167" s="12" t="n">
        <v>45000</v>
      </c>
      <c r="I167" s="19" t="n">
        <v>82.1</v>
      </c>
      <c r="J167" s="20" t="n">
        <v>0</v>
      </c>
      <c r="K167" s="19" t="n">
        <f aca="false">I167*H167*J167/100</f>
        <v>0</v>
      </c>
      <c r="L167" s="19" t="n">
        <f aca="false">I167*H167-K167</f>
        <v>3694500</v>
      </c>
      <c r="M167" s="19" t="n">
        <f aca="false">L167*0.12</f>
        <v>443340</v>
      </c>
      <c r="N167" s="19" t="n">
        <f aca="false">L167+M167</f>
        <v>4137840</v>
      </c>
      <c r="O167" s="12" t="s">
        <v>134</v>
      </c>
      <c r="P167" s="12" t="s">
        <v>364</v>
      </c>
      <c r="Q167" s="23" t="s">
        <v>785</v>
      </c>
      <c r="R167" s="11" t="s">
        <v>796</v>
      </c>
    </row>
    <row r="168" customFormat="false" ht="21.75" hidden="false" customHeight="true" outlineLevel="0" collapsed="false">
      <c r="A168" s="4" t="s">
        <v>797</v>
      </c>
      <c r="B168" s="7" t="s">
        <v>298</v>
      </c>
      <c r="C168" s="5" t="s">
        <v>299</v>
      </c>
      <c r="D168" s="5" t="s">
        <v>291</v>
      </c>
      <c r="E168" s="6" t="s">
        <v>798</v>
      </c>
      <c r="F168" s="14" t="n">
        <v>46084</v>
      </c>
      <c r="G168" s="14" t="n">
        <v>46115</v>
      </c>
      <c r="H168" s="7" t="n">
        <v>2</v>
      </c>
      <c r="I168" s="15" t="n">
        <v>28500000</v>
      </c>
      <c r="J168" s="16" t="n">
        <v>0</v>
      </c>
      <c r="K168" s="15" t="n">
        <f aca="false">I168*H168*J168/100</f>
        <v>0</v>
      </c>
      <c r="L168" s="15" t="n">
        <f aca="false">I168*H168-K168</f>
        <v>57000000</v>
      </c>
      <c r="M168" s="15" t="n">
        <f aca="false">L168*0.12</f>
        <v>6840000</v>
      </c>
      <c r="N168" s="15" t="n">
        <f aca="false">L168+M168</f>
        <v>63840000</v>
      </c>
      <c r="O168" s="7" t="s">
        <v>305</v>
      </c>
      <c r="P168" s="7" t="s">
        <v>405</v>
      </c>
      <c r="Q168" s="23" t="s">
        <v>785</v>
      </c>
      <c r="R168" s="6" t="s">
        <v>799</v>
      </c>
    </row>
    <row r="169" customFormat="false" ht="21.75" hidden="false" customHeight="true" outlineLevel="0" collapsed="false">
      <c r="A169" s="9" t="s">
        <v>800</v>
      </c>
      <c r="B169" s="12" t="s">
        <v>90</v>
      </c>
      <c r="C169" s="10" t="s">
        <v>91</v>
      </c>
      <c r="D169" s="10" t="s">
        <v>84</v>
      </c>
      <c r="E169" s="11" t="s">
        <v>801</v>
      </c>
      <c r="F169" s="18" t="n">
        <v>46086</v>
      </c>
      <c r="G169" s="18" t="n">
        <v>46107</v>
      </c>
      <c r="H169" s="12" t="n">
        <v>3</v>
      </c>
      <c r="I169" s="19" t="n">
        <v>850000</v>
      </c>
      <c r="J169" s="20" t="n">
        <v>5</v>
      </c>
      <c r="K169" s="19" t="n">
        <f aca="false">I169*H169*J169/100</f>
        <v>127500</v>
      </c>
      <c r="L169" s="19" t="n">
        <f aca="false">I169*H169-K169</f>
        <v>2422500</v>
      </c>
      <c r="M169" s="19" t="n">
        <f aca="false">L169*0.12</f>
        <v>290700</v>
      </c>
      <c r="N169" s="19" t="n">
        <f aca="false">L169+M169</f>
        <v>2713200</v>
      </c>
      <c r="O169" s="12" t="s">
        <v>35</v>
      </c>
      <c r="P169" s="12" t="s">
        <v>341</v>
      </c>
      <c r="Q169" s="23" t="s">
        <v>785</v>
      </c>
      <c r="R169" s="11" t="s">
        <v>802</v>
      </c>
    </row>
    <row r="170" customFormat="false" ht="21.75" hidden="false" customHeight="true" outlineLevel="0" collapsed="false">
      <c r="A170" s="4" t="s">
        <v>803</v>
      </c>
      <c r="B170" s="7" t="s">
        <v>282</v>
      </c>
      <c r="C170" s="5" t="s">
        <v>283</v>
      </c>
      <c r="D170" s="5" t="s">
        <v>269</v>
      </c>
      <c r="E170" s="6" t="s">
        <v>804</v>
      </c>
      <c r="F170" s="14" t="n">
        <v>46089</v>
      </c>
      <c r="G170" s="14" t="n">
        <v>46120</v>
      </c>
      <c r="H170" s="7" t="n">
        <v>1</v>
      </c>
      <c r="I170" s="15" t="n">
        <v>12500000</v>
      </c>
      <c r="J170" s="16" t="n">
        <v>0</v>
      </c>
      <c r="K170" s="15" t="n">
        <f aca="false">I170*H170*J170/100</f>
        <v>0</v>
      </c>
      <c r="L170" s="15" t="n">
        <f aca="false">I170*H170-K170</f>
        <v>12500000</v>
      </c>
      <c r="M170" s="15" t="n">
        <f aca="false">L170*0.12</f>
        <v>1500000</v>
      </c>
      <c r="N170" s="15" t="n">
        <f aca="false">L170+M170</f>
        <v>14000000</v>
      </c>
      <c r="O170" s="7" t="s">
        <v>24</v>
      </c>
      <c r="P170" s="7" t="s">
        <v>405</v>
      </c>
      <c r="Q170" s="23" t="s">
        <v>785</v>
      </c>
      <c r="R170" s="6" t="s">
        <v>805</v>
      </c>
    </row>
    <row r="171" customFormat="false" ht="21.75" hidden="false" customHeight="true" outlineLevel="0" collapsed="false">
      <c r="A171" s="9" t="s">
        <v>806</v>
      </c>
      <c r="B171" s="12" t="s">
        <v>111</v>
      </c>
      <c r="C171" s="10" t="s">
        <v>112</v>
      </c>
      <c r="D171" s="10" t="s">
        <v>113</v>
      </c>
      <c r="E171" s="11" t="s">
        <v>807</v>
      </c>
      <c r="F171" s="18" t="n">
        <v>46093</v>
      </c>
      <c r="G171" s="18" t="n">
        <v>46100</v>
      </c>
      <c r="H171" s="12" t="n">
        <v>40</v>
      </c>
      <c r="I171" s="19" t="n">
        <v>28500</v>
      </c>
      <c r="J171" s="20" t="n">
        <v>0</v>
      </c>
      <c r="K171" s="19" t="n">
        <f aca="false">I171*H171*J171/100</f>
        <v>0</v>
      </c>
      <c r="L171" s="19" t="n">
        <f aca="false">I171*H171-K171</f>
        <v>1140000</v>
      </c>
      <c r="M171" s="19" t="n">
        <f aca="false">L171*0.12</f>
        <v>136800</v>
      </c>
      <c r="N171" s="19" t="n">
        <f aca="false">L171+M171</f>
        <v>1276800</v>
      </c>
      <c r="O171" s="12" t="s">
        <v>24</v>
      </c>
      <c r="P171" s="12" t="s">
        <v>358</v>
      </c>
      <c r="Q171" s="23" t="s">
        <v>785</v>
      </c>
      <c r="R171" s="11" t="s">
        <v>808</v>
      </c>
    </row>
    <row r="172" customFormat="false" ht="21.75" hidden="false" customHeight="true" outlineLevel="0" collapsed="false">
      <c r="A172" s="4" t="s">
        <v>809</v>
      </c>
      <c r="B172" s="7" t="s">
        <v>185</v>
      </c>
      <c r="C172" s="5" t="s">
        <v>186</v>
      </c>
      <c r="D172" s="5" t="s">
        <v>187</v>
      </c>
      <c r="E172" s="6" t="s">
        <v>810</v>
      </c>
      <c r="F172" s="14" t="n">
        <v>46095</v>
      </c>
      <c r="G172" s="14" t="n">
        <v>46098</v>
      </c>
      <c r="H172" s="7" t="n">
        <v>1</v>
      </c>
      <c r="I172" s="15" t="n">
        <v>85000</v>
      </c>
      <c r="J172" s="16" t="n">
        <v>0</v>
      </c>
      <c r="K172" s="15" t="n">
        <f aca="false">I172*H172*J172/100</f>
        <v>0</v>
      </c>
      <c r="L172" s="15" t="n">
        <f aca="false">I172*H172-K172</f>
        <v>85000</v>
      </c>
      <c r="M172" s="15" t="n">
        <f aca="false">L172*0.12</f>
        <v>10200</v>
      </c>
      <c r="N172" s="15" t="n">
        <f aca="false">L172+M172</f>
        <v>95200</v>
      </c>
      <c r="O172" s="7" t="s">
        <v>24</v>
      </c>
      <c r="P172" s="7" t="s">
        <v>364</v>
      </c>
      <c r="Q172" s="23" t="s">
        <v>785</v>
      </c>
      <c r="R172" s="6" t="s">
        <v>811</v>
      </c>
    </row>
    <row r="173" customFormat="false" ht="21.75" hidden="false" customHeight="true" outlineLevel="0" collapsed="false">
      <c r="A173" s="9" t="s">
        <v>812</v>
      </c>
      <c r="B173" s="12" t="s">
        <v>126</v>
      </c>
      <c r="C173" s="10" t="s">
        <v>127</v>
      </c>
      <c r="D173" s="10" t="s">
        <v>128</v>
      </c>
      <c r="E173" s="11" t="s">
        <v>487</v>
      </c>
      <c r="F173" s="18" t="n">
        <v>46108</v>
      </c>
      <c r="G173" s="18" t="n">
        <v>46111</v>
      </c>
      <c r="H173" s="12" t="n">
        <v>48000</v>
      </c>
      <c r="I173" s="19" t="n">
        <v>82.8</v>
      </c>
      <c r="J173" s="20" t="n">
        <v>0</v>
      </c>
      <c r="K173" s="19" t="n">
        <f aca="false">I173*H173*J173/100</f>
        <v>0</v>
      </c>
      <c r="L173" s="19" t="n">
        <f aca="false">I173*H173-K173</f>
        <v>3974400</v>
      </c>
      <c r="M173" s="19" t="n">
        <f aca="false">L173*0.12</f>
        <v>476928</v>
      </c>
      <c r="N173" s="19" t="n">
        <f aca="false">L173+M173</f>
        <v>4451328</v>
      </c>
      <c r="O173" s="12" t="s">
        <v>134</v>
      </c>
      <c r="P173" s="12" t="s">
        <v>364</v>
      </c>
      <c r="Q173" s="23" t="s">
        <v>785</v>
      </c>
      <c r="R173" s="11" t="s">
        <v>813</v>
      </c>
    </row>
    <row r="174" customFormat="false" ht="21.75" hidden="false" customHeight="true" outlineLevel="0" collapsed="false">
      <c r="A174" s="4" t="s">
        <v>814</v>
      </c>
      <c r="B174" s="7" t="s">
        <v>44</v>
      </c>
      <c r="C174" s="5" t="s">
        <v>45</v>
      </c>
      <c r="D174" s="5" t="s">
        <v>46</v>
      </c>
      <c r="E174" s="6" t="s">
        <v>348</v>
      </c>
      <c r="F174" s="14" t="n">
        <v>46113</v>
      </c>
      <c r="G174" s="14" t="n">
        <v>46127</v>
      </c>
      <c r="H174" s="7" t="n">
        <v>8000</v>
      </c>
      <c r="I174" s="15" t="n">
        <v>305</v>
      </c>
      <c r="J174" s="16" t="n">
        <v>2</v>
      </c>
      <c r="K174" s="15" t="n">
        <f aca="false">I174*H174*J174/100</f>
        <v>48800</v>
      </c>
      <c r="L174" s="15" t="n">
        <f aca="false">I174*H174-K174</f>
        <v>2391200</v>
      </c>
      <c r="M174" s="15" t="n">
        <f aca="false">L174*0.12</f>
        <v>286944</v>
      </c>
      <c r="N174" s="15" t="n">
        <f aca="false">L174+M174</f>
        <v>2678144</v>
      </c>
      <c r="O174" s="7" t="s">
        <v>24</v>
      </c>
      <c r="P174" s="7" t="s">
        <v>341</v>
      </c>
      <c r="Q174" s="23" t="s">
        <v>785</v>
      </c>
      <c r="R174" s="6" t="s">
        <v>815</v>
      </c>
    </row>
    <row r="175" customFormat="false" ht="21.75" hidden="false" customHeight="true" outlineLevel="0" collapsed="false">
      <c r="A175" s="9" t="s">
        <v>816</v>
      </c>
      <c r="B175" s="12" t="s">
        <v>16</v>
      </c>
      <c r="C175" s="10" t="s">
        <v>17</v>
      </c>
      <c r="D175" s="10" t="s">
        <v>18</v>
      </c>
      <c r="E175" s="11" t="s">
        <v>585</v>
      </c>
      <c r="F175" s="18" t="n">
        <v>46115</v>
      </c>
      <c r="G175" s="18" t="n">
        <v>46122</v>
      </c>
      <c r="H175" s="12" t="n">
        <v>10000</v>
      </c>
      <c r="I175" s="19" t="n">
        <v>325</v>
      </c>
      <c r="J175" s="20" t="n">
        <v>2</v>
      </c>
      <c r="K175" s="19" t="n">
        <f aca="false">I175*H175*J175/100</f>
        <v>65000</v>
      </c>
      <c r="L175" s="19" t="n">
        <f aca="false">I175*H175-K175</f>
        <v>3185000</v>
      </c>
      <c r="M175" s="19" t="n">
        <f aca="false">L175*0.12</f>
        <v>382200</v>
      </c>
      <c r="N175" s="19" t="n">
        <f aca="false">L175+M175</f>
        <v>3567200</v>
      </c>
      <c r="O175" s="12" t="s">
        <v>24</v>
      </c>
      <c r="P175" s="12" t="s">
        <v>341</v>
      </c>
      <c r="Q175" s="23" t="s">
        <v>785</v>
      </c>
      <c r="R175" s="11" t="s">
        <v>817</v>
      </c>
    </row>
    <row r="176" customFormat="false" ht="21.75" hidden="false" customHeight="true" outlineLevel="0" collapsed="false">
      <c r="A176" s="4" t="s">
        <v>818</v>
      </c>
      <c r="B176" s="7" t="s">
        <v>97</v>
      </c>
      <c r="C176" s="5" t="s">
        <v>98</v>
      </c>
      <c r="D176" s="5" t="s">
        <v>84</v>
      </c>
      <c r="E176" s="6" t="s">
        <v>819</v>
      </c>
      <c r="F176" s="14" t="n">
        <v>46119</v>
      </c>
      <c r="G176" s="14" t="n">
        <v>46133</v>
      </c>
      <c r="H176" s="7" t="n">
        <v>2</v>
      </c>
      <c r="I176" s="15" t="n">
        <v>2850000</v>
      </c>
      <c r="J176" s="16" t="n">
        <v>3</v>
      </c>
      <c r="K176" s="15" t="n">
        <f aca="false">I176*H176*J176/100</f>
        <v>171000</v>
      </c>
      <c r="L176" s="15" t="n">
        <f aca="false">I176*H176-K176</f>
        <v>5529000</v>
      </c>
      <c r="M176" s="15" t="n">
        <f aca="false">L176*0.12</f>
        <v>663480</v>
      </c>
      <c r="N176" s="15" t="n">
        <f aca="false">L176+M176</f>
        <v>6192480</v>
      </c>
      <c r="O176" s="7" t="s">
        <v>24</v>
      </c>
      <c r="P176" s="7" t="s">
        <v>405</v>
      </c>
      <c r="Q176" s="23" t="s">
        <v>785</v>
      </c>
      <c r="R176" s="6" t="s">
        <v>820</v>
      </c>
    </row>
    <row r="177" customFormat="false" ht="21.75" hidden="false" customHeight="true" outlineLevel="0" collapsed="false">
      <c r="A177" s="24" t="s">
        <v>821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5" t="n">
        <f aca="false">SUM(L4:L176)</f>
        <v>417522460</v>
      </c>
      <c r="M177" s="25" t="n">
        <f aca="false">SUM(M4:M176)</f>
        <v>50102695.2</v>
      </c>
      <c r="N177" s="25" t="n">
        <f aca="false">SUM(N4:N176)</f>
        <v>467625155.2</v>
      </c>
      <c r="O177" s="26"/>
      <c r="P177" s="26"/>
      <c r="Q177" s="26"/>
      <c r="R177" s="26"/>
    </row>
  </sheetData>
  <autoFilter ref="A3:R176"/>
  <mergeCells count="3">
    <mergeCell ref="A1:R1"/>
    <mergeCell ref="A2:R2"/>
    <mergeCell ref="A177:K1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N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1" min="9" style="0" width="18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30"/>
  </cols>
  <sheetData>
    <row r="1" customFormat="false" ht="45.75" hidden="false" customHeight="true" outlineLevel="0" collapsed="false">
      <c r="A1" s="1" t="s">
        <v>822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823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3" t="s">
        <v>824</v>
      </c>
      <c r="B3" s="3" t="s">
        <v>825</v>
      </c>
      <c r="C3" s="3" t="s">
        <v>826</v>
      </c>
      <c r="D3" s="3" t="s">
        <v>827</v>
      </c>
      <c r="E3" s="3" t="s">
        <v>828</v>
      </c>
      <c r="F3" s="3" t="s">
        <v>829</v>
      </c>
      <c r="G3" s="3" t="s">
        <v>830</v>
      </c>
      <c r="H3" s="3" t="s">
        <v>831</v>
      </c>
      <c r="I3" s="3" t="s">
        <v>832</v>
      </c>
      <c r="J3" s="3" t="s">
        <v>833</v>
      </c>
      <c r="K3" s="3" t="s">
        <v>834</v>
      </c>
      <c r="L3" s="3" t="s">
        <v>835</v>
      </c>
      <c r="M3" s="3" t="s">
        <v>836</v>
      </c>
      <c r="N3" s="3" t="s">
        <v>338</v>
      </c>
    </row>
    <row r="4" customFormat="false" ht="19.5" hidden="false" customHeight="true" outlineLevel="0" collapsed="false">
      <c r="A4" s="4" t="s">
        <v>837</v>
      </c>
      <c r="B4" s="7" t="s">
        <v>339</v>
      </c>
      <c r="C4" s="5" t="s">
        <v>17</v>
      </c>
      <c r="D4" s="6" t="s">
        <v>340</v>
      </c>
      <c r="E4" s="7" t="n">
        <v>2000</v>
      </c>
      <c r="F4" s="7" t="n">
        <v>2000</v>
      </c>
      <c r="G4" s="27" t="n">
        <v>0</v>
      </c>
      <c r="H4" s="14" t="n">
        <v>45306</v>
      </c>
      <c r="I4" s="5" t="s">
        <v>838</v>
      </c>
      <c r="J4" s="17" t="s">
        <v>839</v>
      </c>
      <c r="K4" s="5" t="s">
        <v>840</v>
      </c>
      <c r="L4" s="7" t="s">
        <v>841</v>
      </c>
      <c r="M4" s="5" t="s">
        <v>842</v>
      </c>
      <c r="N4" s="6" t="s">
        <v>843</v>
      </c>
    </row>
    <row r="5" customFormat="false" ht="19.5" hidden="false" customHeight="true" outlineLevel="0" collapsed="false">
      <c r="A5" s="9" t="s">
        <v>844</v>
      </c>
      <c r="B5" s="12" t="s">
        <v>344</v>
      </c>
      <c r="C5" s="10" t="s">
        <v>845</v>
      </c>
      <c r="D5" s="11" t="s">
        <v>345</v>
      </c>
      <c r="E5" s="12" t="n">
        <v>5000</v>
      </c>
      <c r="F5" s="12" t="n">
        <v>5000</v>
      </c>
      <c r="G5" s="28" t="n">
        <v>0</v>
      </c>
      <c r="H5" s="18" t="n">
        <v>45315</v>
      </c>
      <c r="I5" s="10" t="s">
        <v>846</v>
      </c>
      <c r="J5" s="17" t="s">
        <v>839</v>
      </c>
      <c r="K5" s="10" t="s">
        <v>840</v>
      </c>
      <c r="L5" s="12" t="s">
        <v>841</v>
      </c>
      <c r="M5" s="10" t="s">
        <v>847</v>
      </c>
      <c r="N5" s="11" t="s">
        <v>848</v>
      </c>
    </row>
    <row r="6" customFormat="false" ht="19.5" hidden="false" customHeight="true" outlineLevel="0" collapsed="false">
      <c r="A6" s="4" t="s">
        <v>849</v>
      </c>
      <c r="B6" s="7" t="s">
        <v>347</v>
      </c>
      <c r="C6" s="5" t="s">
        <v>845</v>
      </c>
      <c r="D6" s="6" t="s">
        <v>348</v>
      </c>
      <c r="E6" s="7" t="n">
        <v>3000</v>
      </c>
      <c r="F6" s="7" t="n">
        <v>2800</v>
      </c>
      <c r="G6" s="29" t="n">
        <v>-200</v>
      </c>
      <c r="H6" s="14" t="n">
        <v>45315</v>
      </c>
      <c r="I6" s="5" t="s">
        <v>846</v>
      </c>
      <c r="J6" s="23" t="s">
        <v>850</v>
      </c>
      <c r="K6" s="5" t="s">
        <v>840</v>
      </c>
      <c r="L6" s="7" t="s">
        <v>841</v>
      </c>
      <c r="M6" s="5" t="s">
        <v>847</v>
      </c>
      <c r="N6" s="6" t="s">
        <v>851</v>
      </c>
    </row>
    <row r="7" customFormat="false" ht="19.5" hidden="false" customHeight="true" outlineLevel="0" collapsed="false">
      <c r="A7" s="9" t="s">
        <v>852</v>
      </c>
      <c r="B7" s="12" t="s">
        <v>349</v>
      </c>
      <c r="C7" s="10" t="s">
        <v>68</v>
      </c>
      <c r="D7" s="11" t="s">
        <v>350</v>
      </c>
      <c r="E7" s="12" t="n">
        <v>500</v>
      </c>
      <c r="F7" s="12" t="n">
        <v>500</v>
      </c>
      <c r="G7" s="28" t="n">
        <v>0</v>
      </c>
      <c r="H7" s="18" t="n">
        <v>45309</v>
      </c>
      <c r="I7" s="10" t="s">
        <v>853</v>
      </c>
      <c r="J7" s="17" t="s">
        <v>839</v>
      </c>
      <c r="K7" s="10" t="s">
        <v>854</v>
      </c>
      <c r="L7" s="12" t="s">
        <v>841</v>
      </c>
      <c r="M7" s="10" t="s">
        <v>855</v>
      </c>
      <c r="N7" s="11" t="s">
        <v>856</v>
      </c>
    </row>
    <row r="8" customFormat="false" ht="19.5" hidden="false" customHeight="true" outlineLevel="0" collapsed="false">
      <c r="A8" s="4" t="s">
        <v>857</v>
      </c>
      <c r="B8" s="7" t="s">
        <v>353</v>
      </c>
      <c r="C8" s="5" t="s">
        <v>858</v>
      </c>
      <c r="D8" s="6" t="s">
        <v>354</v>
      </c>
      <c r="E8" s="7" t="n">
        <v>50</v>
      </c>
      <c r="F8" s="7" t="n">
        <v>50</v>
      </c>
      <c r="G8" s="27" t="n">
        <v>0</v>
      </c>
      <c r="H8" s="14" t="n">
        <v>45323</v>
      </c>
      <c r="I8" s="5" t="s">
        <v>853</v>
      </c>
      <c r="J8" s="17" t="s">
        <v>839</v>
      </c>
      <c r="K8" s="5" t="s">
        <v>840</v>
      </c>
      <c r="L8" s="7" t="s">
        <v>841</v>
      </c>
      <c r="M8" s="5" t="s">
        <v>859</v>
      </c>
      <c r="N8" s="6" t="s">
        <v>860</v>
      </c>
    </row>
    <row r="9" customFormat="false" ht="19.5" hidden="false" customHeight="true" outlineLevel="0" collapsed="false">
      <c r="A9" s="9" t="s">
        <v>861</v>
      </c>
      <c r="B9" s="12" t="s">
        <v>356</v>
      </c>
      <c r="C9" s="10" t="s">
        <v>112</v>
      </c>
      <c r="D9" s="11" t="s">
        <v>357</v>
      </c>
      <c r="E9" s="12" t="n">
        <v>200</v>
      </c>
      <c r="F9" s="12" t="n">
        <v>200</v>
      </c>
      <c r="G9" s="28" t="n">
        <v>0</v>
      </c>
      <c r="H9" s="18" t="n">
        <v>45318</v>
      </c>
      <c r="I9" s="10" t="s">
        <v>862</v>
      </c>
      <c r="J9" s="17" t="s">
        <v>839</v>
      </c>
      <c r="K9" s="10" t="s">
        <v>862</v>
      </c>
      <c r="L9" s="12" t="s">
        <v>841</v>
      </c>
      <c r="M9" s="10" t="s">
        <v>863</v>
      </c>
      <c r="N9" s="11" t="s">
        <v>864</v>
      </c>
    </row>
    <row r="10" customFormat="false" ht="19.5" hidden="false" customHeight="true" outlineLevel="0" collapsed="false">
      <c r="A10" s="4" t="s">
        <v>865</v>
      </c>
      <c r="B10" s="7" t="s">
        <v>360</v>
      </c>
      <c r="C10" s="5" t="s">
        <v>112</v>
      </c>
      <c r="D10" s="6" t="s">
        <v>361</v>
      </c>
      <c r="E10" s="7" t="n">
        <v>300</v>
      </c>
      <c r="F10" s="7" t="n">
        <v>300</v>
      </c>
      <c r="G10" s="27" t="n">
        <v>0</v>
      </c>
      <c r="H10" s="14" t="n">
        <v>45318</v>
      </c>
      <c r="I10" s="5" t="s">
        <v>862</v>
      </c>
      <c r="J10" s="17" t="s">
        <v>839</v>
      </c>
      <c r="K10" s="5" t="s">
        <v>862</v>
      </c>
      <c r="L10" s="7" t="s">
        <v>841</v>
      </c>
      <c r="M10" s="5" t="s">
        <v>863</v>
      </c>
      <c r="N10" s="6" t="s">
        <v>856</v>
      </c>
    </row>
    <row r="11" customFormat="false" ht="19.5" hidden="false" customHeight="true" outlineLevel="0" collapsed="false">
      <c r="A11" s="9" t="s">
        <v>866</v>
      </c>
      <c r="B11" s="12" t="s">
        <v>362</v>
      </c>
      <c r="C11" s="10" t="s">
        <v>127</v>
      </c>
      <c r="D11" s="11" t="s">
        <v>550</v>
      </c>
      <c r="E11" s="12" t="n">
        <v>10000</v>
      </c>
      <c r="F11" s="12" t="n">
        <v>10000</v>
      </c>
      <c r="G11" s="28" t="n">
        <v>0</v>
      </c>
      <c r="H11" s="18" t="n">
        <v>45319</v>
      </c>
      <c r="I11" s="10" t="s">
        <v>867</v>
      </c>
      <c r="J11" s="17" t="s">
        <v>839</v>
      </c>
      <c r="K11" s="10" t="s">
        <v>868</v>
      </c>
      <c r="L11" s="12" t="s">
        <v>869</v>
      </c>
      <c r="M11" s="10" t="s">
        <v>870</v>
      </c>
      <c r="N11" s="11" t="s">
        <v>871</v>
      </c>
    </row>
    <row r="12" customFormat="false" ht="19.5" hidden="false" customHeight="true" outlineLevel="0" collapsed="false">
      <c r="A12" s="4" t="s">
        <v>872</v>
      </c>
      <c r="B12" s="7" t="s">
        <v>366</v>
      </c>
      <c r="C12" s="5" t="s">
        <v>17</v>
      </c>
      <c r="D12" s="6" t="s">
        <v>340</v>
      </c>
      <c r="E12" s="7" t="n">
        <v>3000</v>
      </c>
      <c r="F12" s="7" t="n">
        <v>3000</v>
      </c>
      <c r="G12" s="27" t="n">
        <v>0</v>
      </c>
      <c r="H12" s="14" t="n">
        <v>45334</v>
      </c>
      <c r="I12" s="5" t="s">
        <v>846</v>
      </c>
      <c r="J12" s="17" t="s">
        <v>839</v>
      </c>
      <c r="K12" s="5" t="s">
        <v>840</v>
      </c>
      <c r="L12" s="7" t="s">
        <v>841</v>
      </c>
      <c r="M12" s="5" t="s">
        <v>842</v>
      </c>
      <c r="N12" s="6" t="s">
        <v>873</v>
      </c>
    </row>
    <row r="13" customFormat="false" ht="19.5" hidden="false" customHeight="true" outlineLevel="0" collapsed="false">
      <c r="A13" s="9" t="s">
        <v>874</v>
      </c>
      <c r="B13" s="12" t="s">
        <v>368</v>
      </c>
      <c r="C13" s="10" t="s">
        <v>875</v>
      </c>
      <c r="D13" s="11" t="s">
        <v>369</v>
      </c>
      <c r="E13" s="12" t="n">
        <v>200</v>
      </c>
      <c r="F13" s="12" t="n">
        <v>195</v>
      </c>
      <c r="G13" s="30" t="n">
        <v>-5</v>
      </c>
      <c r="H13" s="18" t="n">
        <v>45336</v>
      </c>
      <c r="I13" s="10" t="s">
        <v>853</v>
      </c>
      <c r="J13" s="23" t="s">
        <v>850</v>
      </c>
      <c r="K13" s="10" t="s">
        <v>854</v>
      </c>
      <c r="L13" s="12" t="s">
        <v>841</v>
      </c>
      <c r="M13" s="10" t="s">
        <v>876</v>
      </c>
      <c r="N13" s="11" t="s">
        <v>877</v>
      </c>
    </row>
    <row r="14" customFormat="false" ht="19.5" hidden="false" customHeight="true" outlineLevel="0" collapsed="false">
      <c r="A14" s="4" t="s">
        <v>878</v>
      </c>
      <c r="B14" s="7" t="s">
        <v>371</v>
      </c>
      <c r="C14" s="5" t="s">
        <v>875</v>
      </c>
      <c r="D14" s="6" t="s">
        <v>372</v>
      </c>
      <c r="E14" s="7" t="n">
        <v>150</v>
      </c>
      <c r="F14" s="7" t="n">
        <v>150</v>
      </c>
      <c r="G14" s="27" t="n">
        <v>0</v>
      </c>
      <c r="H14" s="14" t="n">
        <v>45336</v>
      </c>
      <c r="I14" s="5" t="s">
        <v>853</v>
      </c>
      <c r="J14" s="17" t="s">
        <v>839</v>
      </c>
      <c r="K14" s="5" t="s">
        <v>854</v>
      </c>
      <c r="L14" s="7" t="s">
        <v>841</v>
      </c>
      <c r="M14" s="5" t="s">
        <v>876</v>
      </c>
      <c r="N14" s="6" t="s">
        <v>873</v>
      </c>
    </row>
    <row r="15" customFormat="false" ht="19.5" hidden="false" customHeight="true" outlineLevel="0" collapsed="false">
      <c r="A15" s="9" t="s">
        <v>879</v>
      </c>
      <c r="B15" s="12" t="s">
        <v>373</v>
      </c>
      <c r="C15" s="10" t="s">
        <v>845</v>
      </c>
      <c r="D15" s="11" t="s">
        <v>374</v>
      </c>
      <c r="E15" s="12" t="n">
        <v>2000</v>
      </c>
      <c r="F15" s="12" t="n">
        <v>2000</v>
      </c>
      <c r="G15" s="28" t="n">
        <v>0</v>
      </c>
      <c r="H15" s="18" t="n">
        <v>45348</v>
      </c>
      <c r="I15" s="10" t="s">
        <v>846</v>
      </c>
      <c r="J15" s="17" t="s">
        <v>839</v>
      </c>
      <c r="K15" s="10" t="s">
        <v>840</v>
      </c>
      <c r="L15" s="12" t="s">
        <v>841</v>
      </c>
      <c r="M15" s="10" t="s">
        <v>847</v>
      </c>
      <c r="N15" s="11" t="s">
        <v>848</v>
      </c>
    </row>
    <row r="16" customFormat="false" ht="19.5" hidden="false" customHeight="true" outlineLevel="0" collapsed="false">
      <c r="A16" s="4" t="s">
        <v>880</v>
      </c>
      <c r="B16" s="7" t="s">
        <v>376</v>
      </c>
      <c r="C16" s="5" t="s">
        <v>150</v>
      </c>
      <c r="D16" s="6" t="s">
        <v>377</v>
      </c>
      <c r="E16" s="7" t="n">
        <v>10</v>
      </c>
      <c r="F16" s="7" t="n">
        <v>10</v>
      </c>
      <c r="G16" s="27" t="n">
        <v>0</v>
      </c>
      <c r="H16" s="14" t="n">
        <v>45344</v>
      </c>
      <c r="I16" s="5" t="s">
        <v>881</v>
      </c>
      <c r="J16" s="17" t="s">
        <v>839</v>
      </c>
      <c r="K16" s="5" t="s">
        <v>882</v>
      </c>
      <c r="L16" s="7" t="s">
        <v>841</v>
      </c>
      <c r="M16" s="5" t="s">
        <v>883</v>
      </c>
      <c r="N16" s="6" t="s">
        <v>884</v>
      </c>
    </row>
    <row r="17" customFormat="false" ht="19.5" hidden="false" customHeight="true" outlineLevel="0" collapsed="false">
      <c r="A17" s="9" t="s">
        <v>885</v>
      </c>
      <c r="B17" s="12" t="s">
        <v>380</v>
      </c>
      <c r="C17" s="10" t="s">
        <v>186</v>
      </c>
      <c r="D17" s="11" t="s">
        <v>381</v>
      </c>
      <c r="E17" s="12" t="n">
        <v>200</v>
      </c>
      <c r="F17" s="12" t="n">
        <v>200</v>
      </c>
      <c r="G17" s="28" t="n">
        <v>0</v>
      </c>
      <c r="H17" s="18" t="n">
        <v>45343</v>
      </c>
      <c r="I17" s="10" t="s">
        <v>886</v>
      </c>
      <c r="J17" s="17" t="s">
        <v>839</v>
      </c>
      <c r="K17" s="10" t="s">
        <v>887</v>
      </c>
      <c r="L17" s="12" t="s">
        <v>841</v>
      </c>
      <c r="M17" s="10" t="s">
        <v>888</v>
      </c>
      <c r="N17" s="11" t="s">
        <v>873</v>
      </c>
    </row>
    <row r="18" customFormat="false" ht="19.5" hidden="false" customHeight="true" outlineLevel="0" collapsed="false">
      <c r="A18" s="4" t="s">
        <v>889</v>
      </c>
      <c r="B18" s="7" t="s">
        <v>403</v>
      </c>
      <c r="C18" s="5" t="s">
        <v>290</v>
      </c>
      <c r="D18" s="6" t="s">
        <v>404</v>
      </c>
      <c r="E18" s="7" t="n">
        <v>1</v>
      </c>
      <c r="F18" s="7" t="n">
        <v>1</v>
      </c>
      <c r="G18" s="27" t="n">
        <v>0</v>
      </c>
      <c r="H18" s="14" t="n">
        <v>45397</v>
      </c>
      <c r="I18" s="5" t="s">
        <v>890</v>
      </c>
      <c r="J18" s="17" t="s">
        <v>839</v>
      </c>
      <c r="K18" s="5" t="s">
        <v>891</v>
      </c>
      <c r="L18" s="7" t="s">
        <v>892</v>
      </c>
      <c r="M18" s="5" t="s">
        <v>893</v>
      </c>
      <c r="N18" s="6" t="s">
        <v>894</v>
      </c>
    </row>
    <row r="19" customFormat="false" ht="19.5" hidden="false" customHeight="true" outlineLevel="0" collapsed="false">
      <c r="A19" s="9" t="s">
        <v>895</v>
      </c>
      <c r="B19" s="12" t="s">
        <v>409</v>
      </c>
      <c r="C19" s="10" t="s">
        <v>896</v>
      </c>
      <c r="D19" s="11" t="s">
        <v>410</v>
      </c>
      <c r="E19" s="12" t="n">
        <v>2500</v>
      </c>
      <c r="F19" s="12" t="n">
        <v>2500</v>
      </c>
      <c r="G19" s="28" t="n">
        <v>0</v>
      </c>
      <c r="H19" s="18" t="n">
        <v>45391</v>
      </c>
      <c r="I19" s="10" t="s">
        <v>846</v>
      </c>
      <c r="J19" s="17" t="s">
        <v>839</v>
      </c>
      <c r="K19" s="10" t="s">
        <v>840</v>
      </c>
      <c r="L19" s="12" t="s">
        <v>841</v>
      </c>
      <c r="M19" s="10" t="s">
        <v>897</v>
      </c>
      <c r="N19" s="11" t="s">
        <v>873</v>
      </c>
    </row>
    <row r="20" customFormat="false" ht="19.5" hidden="false" customHeight="true" outlineLevel="0" collapsed="false">
      <c r="A20" s="4" t="s">
        <v>898</v>
      </c>
      <c r="B20" s="7" t="s">
        <v>429</v>
      </c>
      <c r="C20" s="5" t="s">
        <v>899</v>
      </c>
      <c r="D20" s="6" t="s">
        <v>430</v>
      </c>
      <c r="E20" s="7" t="n">
        <v>15</v>
      </c>
      <c r="F20" s="7" t="n">
        <v>15</v>
      </c>
      <c r="G20" s="27" t="n">
        <v>0</v>
      </c>
      <c r="H20" s="14" t="n">
        <v>45421</v>
      </c>
      <c r="I20" s="5" t="s">
        <v>881</v>
      </c>
      <c r="J20" s="17" t="s">
        <v>839</v>
      </c>
      <c r="K20" s="5" t="s">
        <v>882</v>
      </c>
      <c r="L20" s="7" t="s">
        <v>841</v>
      </c>
      <c r="M20" s="5" t="s">
        <v>883</v>
      </c>
      <c r="N20" s="6" t="s">
        <v>900</v>
      </c>
    </row>
    <row r="21" customFormat="false" ht="19.5" hidden="false" customHeight="true" outlineLevel="0" collapsed="false">
      <c r="A21" s="9" t="s">
        <v>901</v>
      </c>
      <c r="B21" s="12" t="s">
        <v>452</v>
      </c>
      <c r="C21" s="10" t="s">
        <v>165</v>
      </c>
      <c r="D21" s="11" t="s">
        <v>453</v>
      </c>
      <c r="E21" s="12" t="n">
        <v>8</v>
      </c>
      <c r="F21" s="12" t="n">
        <v>8</v>
      </c>
      <c r="G21" s="28" t="n">
        <v>0</v>
      </c>
      <c r="H21" s="18" t="n">
        <v>45453</v>
      </c>
      <c r="I21" s="10" t="s">
        <v>881</v>
      </c>
      <c r="J21" s="17" t="s">
        <v>839</v>
      </c>
      <c r="K21" s="10" t="s">
        <v>882</v>
      </c>
      <c r="L21" s="12" t="s">
        <v>841</v>
      </c>
      <c r="M21" s="10" t="s">
        <v>883</v>
      </c>
      <c r="N21" s="11" t="s">
        <v>902</v>
      </c>
    </row>
    <row r="22" customFormat="false" ht="19.5" hidden="false" customHeight="true" outlineLevel="0" collapsed="false">
      <c r="A22" s="4" t="s">
        <v>903</v>
      </c>
      <c r="B22" s="7" t="s">
        <v>475</v>
      </c>
      <c r="C22" s="5" t="s">
        <v>98</v>
      </c>
      <c r="D22" s="6" t="s">
        <v>476</v>
      </c>
      <c r="E22" s="7" t="n">
        <v>1</v>
      </c>
      <c r="F22" s="7" t="n">
        <v>1</v>
      </c>
      <c r="G22" s="27" t="n">
        <v>0</v>
      </c>
      <c r="H22" s="14" t="n">
        <v>45497</v>
      </c>
      <c r="I22" s="5" t="s">
        <v>904</v>
      </c>
      <c r="J22" s="17" t="s">
        <v>839</v>
      </c>
      <c r="K22" s="5" t="s">
        <v>891</v>
      </c>
      <c r="L22" s="7" t="s">
        <v>892</v>
      </c>
      <c r="M22" s="5" t="s">
        <v>905</v>
      </c>
      <c r="N22" s="6" t="s">
        <v>906</v>
      </c>
    </row>
    <row r="23" customFormat="false" ht="19.5" hidden="false" customHeight="true" outlineLevel="0" collapsed="false">
      <c r="A23" s="9" t="s">
        <v>907</v>
      </c>
      <c r="B23" s="12" t="s">
        <v>489</v>
      </c>
      <c r="C23" s="10" t="s">
        <v>858</v>
      </c>
      <c r="D23" s="11" t="s">
        <v>490</v>
      </c>
      <c r="E23" s="12" t="n">
        <v>4</v>
      </c>
      <c r="F23" s="12" t="n">
        <v>4</v>
      </c>
      <c r="G23" s="28" t="n">
        <v>0</v>
      </c>
      <c r="H23" s="18" t="n">
        <v>45520</v>
      </c>
      <c r="I23" s="10" t="s">
        <v>904</v>
      </c>
      <c r="J23" s="17" t="s">
        <v>839</v>
      </c>
      <c r="K23" s="10" t="s">
        <v>840</v>
      </c>
      <c r="L23" s="12" t="s">
        <v>892</v>
      </c>
      <c r="M23" s="10" t="s">
        <v>908</v>
      </c>
      <c r="N23" s="11" t="s">
        <v>909</v>
      </c>
    </row>
    <row r="24" customFormat="false" ht="19.5" hidden="false" customHeight="true" outlineLevel="0" collapsed="false">
      <c r="A24" s="4" t="s">
        <v>910</v>
      </c>
      <c r="B24" s="7" t="s">
        <v>495</v>
      </c>
      <c r="C24" s="5" t="s">
        <v>896</v>
      </c>
      <c r="D24" s="6" t="s">
        <v>496</v>
      </c>
      <c r="E24" s="7" t="n">
        <v>500</v>
      </c>
      <c r="F24" s="7" t="n">
        <v>480</v>
      </c>
      <c r="G24" s="29" t="n">
        <v>-20</v>
      </c>
      <c r="H24" s="14" t="n">
        <v>45519</v>
      </c>
      <c r="I24" s="5" t="s">
        <v>911</v>
      </c>
      <c r="J24" s="23" t="s">
        <v>850</v>
      </c>
      <c r="K24" s="5" t="s">
        <v>840</v>
      </c>
      <c r="L24" s="7" t="s">
        <v>841</v>
      </c>
      <c r="M24" s="5" t="s">
        <v>912</v>
      </c>
      <c r="N24" s="6" t="s">
        <v>913</v>
      </c>
    </row>
    <row r="25" customFormat="false" ht="19.5" hidden="false" customHeight="true" outlineLevel="0" collapsed="false">
      <c r="A25" s="9" t="s">
        <v>914</v>
      </c>
      <c r="B25" s="12" t="s">
        <v>501</v>
      </c>
      <c r="C25" s="10" t="s">
        <v>899</v>
      </c>
      <c r="D25" s="11" t="s">
        <v>502</v>
      </c>
      <c r="E25" s="12" t="n">
        <v>2</v>
      </c>
      <c r="F25" s="12" t="n">
        <v>2</v>
      </c>
      <c r="G25" s="28" t="n">
        <v>0</v>
      </c>
      <c r="H25" s="18" t="n">
        <v>45526</v>
      </c>
      <c r="I25" s="10" t="s">
        <v>881</v>
      </c>
      <c r="J25" s="17" t="s">
        <v>839</v>
      </c>
      <c r="K25" s="10" t="s">
        <v>882</v>
      </c>
      <c r="L25" s="12" t="s">
        <v>892</v>
      </c>
      <c r="M25" s="10" t="s">
        <v>915</v>
      </c>
      <c r="N25" s="11" t="s">
        <v>916</v>
      </c>
    </row>
    <row r="26" customFormat="false" ht="19.5" hidden="false" customHeight="true" outlineLevel="0" collapsed="false">
      <c r="A26" s="4" t="s">
        <v>917</v>
      </c>
      <c r="B26" s="7" t="s">
        <v>512</v>
      </c>
      <c r="C26" s="5" t="s">
        <v>276</v>
      </c>
      <c r="D26" s="6" t="s">
        <v>513</v>
      </c>
      <c r="E26" s="7" t="n">
        <v>1</v>
      </c>
      <c r="F26" s="7" t="n">
        <v>1</v>
      </c>
      <c r="G26" s="27" t="n">
        <v>0</v>
      </c>
      <c r="H26" s="14" t="n">
        <v>45570</v>
      </c>
      <c r="I26" s="5" t="s">
        <v>918</v>
      </c>
      <c r="J26" s="17" t="s">
        <v>839</v>
      </c>
      <c r="K26" s="5" t="s">
        <v>891</v>
      </c>
      <c r="L26" s="7" t="s">
        <v>892</v>
      </c>
      <c r="M26" s="5" t="s">
        <v>919</v>
      </c>
      <c r="N26" s="6" t="s">
        <v>920</v>
      </c>
    </row>
    <row r="27" customFormat="false" ht="19.5" hidden="false" customHeight="true" outlineLevel="0" collapsed="false">
      <c r="A27" s="9" t="s">
        <v>921</v>
      </c>
      <c r="B27" s="12" t="s">
        <v>529</v>
      </c>
      <c r="C27" s="10" t="s">
        <v>17</v>
      </c>
      <c r="D27" s="11" t="s">
        <v>530</v>
      </c>
      <c r="E27" s="12" t="n">
        <v>4000</v>
      </c>
      <c r="F27" s="12" t="n">
        <v>4000</v>
      </c>
      <c r="G27" s="28" t="n">
        <v>0</v>
      </c>
      <c r="H27" s="18" t="n">
        <v>45576</v>
      </c>
      <c r="I27" s="10" t="s">
        <v>846</v>
      </c>
      <c r="J27" s="17" t="s">
        <v>839</v>
      </c>
      <c r="K27" s="10" t="s">
        <v>840</v>
      </c>
      <c r="L27" s="12" t="s">
        <v>841</v>
      </c>
      <c r="M27" s="10" t="s">
        <v>922</v>
      </c>
      <c r="N27" s="11" t="s">
        <v>873</v>
      </c>
    </row>
    <row r="28" customFormat="false" ht="19.5" hidden="false" customHeight="true" outlineLevel="0" collapsed="false">
      <c r="A28" s="4" t="s">
        <v>923</v>
      </c>
      <c r="B28" s="7" t="s">
        <v>532</v>
      </c>
      <c r="C28" s="5" t="s">
        <v>845</v>
      </c>
      <c r="D28" s="6" t="s">
        <v>770</v>
      </c>
      <c r="E28" s="7" t="n">
        <v>1000</v>
      </c>
      <c r="F28" s="7" t="n">
        <v>1000</v>
      </c>
      <c r="G28" s="27" t="n">
        <v>0</v>
      </c>
      <c r="H28" s="14" t="n">
        <v>45586</v>
      </c>
      <c r="I28" s="5" t="s">
        <v>846</v>
      </c>
      <c r="J28" s="17" t="s">
        <v>839</v>
      </c>
      <c r="K28" s="5" t="s">
        <v>840</v>
      </c>
      <c r="L28" s="7" t="s">
        <v>841</v>
      </c>
      <c r="M28" s="5" t="s">
        <v>924</v>
      </c>
      <c r="N28" s="6" t="s">
        <v>925</v>
      </c>
    </row>
    <row r="29" customFormat="false" ht="19.5" hidden="false" customHeight="true" outlineLevel="0" collapsed="false">
      <c r="A29" s="9" t="s">
        <v>926</v>
      </c>
      <c r="B29" s="12" t="s">
        <v>564</v>
      </c>
      <c r="C29" s="10" t="s">
        <v>927</v>
      </c>
      <c r="D29" s="11" t="s">
        <v>565</v>
      </c>
      <c r="E29" s="12" t="n">
        <v>1</v>
      </c>
      <c r="F29" s="12" t="n">
        <v>1</v>
      </c>
      <c r="G29" s="28" t="n">
        <v>0</v>
      </c>
      <c r="H29" s="18" t="n">
        <v>45641</v>
      </c>
      <c r="I29" s="10" t="s">
        <v>928</v>
      </c>
      <c r="J29" s="17" t="s">
        <v>839</v>
      </c>
      <c r="K29" s="10" t="s">
        <v>891</v>
      </c>
      <c r="L29" s="12" t="s">
        <v>892</v>
      </c>
      <c r="M29" s="10" t="s">
        <v>929</v>
      </c>
      <c r="N29" s="11" t="s">
        <v>930</v>
      </c>
    </row>
    <row r="30" customFormat="false" ht="19.5" hidden="false" customHeight="true" outlineLevel="0" collapsed="false">
      <c r="A30" s="4" t="s">
        <v>931</v>
      </c>
      <c r="B30" s="7" t="s">
        <v>572</v>
      </c>
      <c r="C30" s="5" t="s">
        <v>17</v>
      </c>
      <c r="D30" s="6" t="s">
        <v>340</v>
      </c>
      <c r="E30" s="7" t="n">
        <v>5000</v>
      </c>
      <c r="F30" s="7" t="n">
        <v>5000</v>
      </c>
      <c r="G30" s="27" t="n">
        <v>0</v>
      </c>
      <c r="H30" s="14" t="n">
        <v>45636</v>
      </c>
      <c r="I30" s="5" t="s">
        <v>846</v>
      </c>
      <c r="J30" s="17" t="s">
        <v>839</v>
      </c>
      <c r="K30" s="5" t="s">
        <v>840</v>
      </c>
      <c r="L30" s="7" t="s">
        <v>841</v>
      </c>
      <c r="M30" s="5" t="s">
        <v>922</v>
      </c>
      <c r="N30" s="6" t="s">
        <v>932</v>
      </c>
    </row>
    <row r="31" customFormat="false" ht="19.5" hidden="false" customHeight="true" outlineLevel="0" collapsed="false">
      <c r="A31" s="9" t="s">
        <v>933</v>
      </c>
      <c r="B31" s="12" t="s">
        <v>574</v>
      </c>
      <c r="C31" s="10" t="s">
        <v>150</v>
      </c>
      <c r="D31" s="11" t="s">
        <v>575</v>
      </c>
      <c r="E31" s="12" t="n">
        <v>10</v>
      </c>
      <c r="F31" s="12" t="n">
        <v>10</v>
      </c>
      <c r="G31" s="28" t="n">
        <v>0</v>
      </c>
      <c r="H31" s="18" t="n">
        <v>45638</v>
      </c>
      <c r="I31" s="10" t="s">
        <v>881</v>
      </c>
      <c r="J31" s="17" t="s">
        <v>839</v>
      </c>
      <c r="K31" s="10" t="s">
        <v>882</v>
      </c>
      <c r="L31" s="12" t="s">
        <v>892</v>
      </c>
      <c r="M31" s="10" t="s">
        <v>883</v>
      </c>
      <c r="N31" s="11" t="s">
        <v>934</v>
      </c>
    </row>
    <row r="32" customFormat="false" ht="19.5" hidden="false" customHeight="true" outlineLevel="0" collapsed="false">
      <c r="A32" s="4" t="s">
        <v>935</v>
      </c>
      <c r="B32" s="7" t="s">
        <v>584</v>
      </c>
      <c r="C32" s="5" t="s">
        <v>17</v>
      </c>
      <c r="D32" s="6" t="s">
        <v>585</v>
      </c>
      <c r="E32" s="7" t="n">
        <v>4500</v>
      </c>
      <c r="F32" s="7" t="n">
        <v>4500</v>
      </c>
      <c r="G32" s="27" t="n">
        <v>0</v>
      </c>
      <c r="H32" s="14" t="n">
        <v>45670</v>
      </c>
      <c r="I32" s="5" t="s">
        <v>846</v>
      </c>
      <c r="J32" s="17" t="s">
        <v>839</v>
      </c>
      <c r="K32" s="5" t="s">
        <v>840</v>
      </c>
      <c r="L32" s="7" t="s">
        <v>841</v>
      </c>
      <c r="M32" s="5" t="s">
        <v>922</v>
      </c>
      <c r="N32" s="6" t="s">
        <v>856</v>
      </c>
    </row>
    <row r="33" customFormat="false" ht="19.5" hidden="false" customHeight="true" outlineLevel="0" collapsed="false">
      <c r="A33" s="9" t="s">
        <v>936</v>
      </c>
      <c r="B33" s="12" t="s">
        <v>587</v>
      </c>
      <c r="C33" s="10" t="s">
        <v>845</v>
      </c>
      <c r="D33" s="11" t="s">
        <v>588</v>
      </c>
      <c r="E33" s="12" t="n">
        <v>800</v>
      </c>
      <c r="F33" s="12" t="n">
        <v>800</v>
      </c>
      <c r="G33" s="28" t="n">
        <v>0</v>
      </c>
      <c r="H33" s="18" t="n">
        <v>45679</v>
      </c>
      <c r="I33" s="10" t="s">
        <v>846</v>
      </c>
      <c r="J33" s="17" t="s">
        <v>839</v>
      </c>
      <c r="K33" s="10" t="s">
        <v>854</v>
      </c>
      <c r="L33" s="12" t="s">
        <v>841</v>
      </c>
      <c r="M33" s="10" t="s">
        <v>924</v>
      </c>
      <c r="N33" s="11" t="s">
        <v>937</v>
      </c>
    </row>
    <row r="34" customFormat="false" ht="19.5" hidden="false" customHeight="true" outlineLevel="0" collapsed="false">
      <c r="A34" s="4" t="s">
        <v>938</v>
      </c>
      <c r="B34" s="7" t="s">
        <v>593</v>
      </c>
      <c r="C34" s="5" t="s">
        <v>858</v>
      </c>
      <c r="D34" s="6" t="s">
        <v>594</v>
      </c>
      <c r="E34" s="7" t="n">
        <v>2</v>
      </c>
      <c r="F34" s="7" t="n">
        <v>2</v>
      </c>
      <c r="G34" s="27" t="n">
        <v>0</v>
      </c>
      <c r="H34" s="14" t="n">
        <v>45686</v>
      </c>
      <c r="I34" s="5" t="s">
        <v>904</v>
      </c>
      <c r="J34" s="17" t="s">
        <v>839</v>
      </c>
      <c r="K34" s="5" t="s">
        <v>891</v>
      </c>
      <c r="L34" s="7" t="s">
        <v>892</v>
      </c>
      <c r="M34" s="5" t="s">
        <v>939</v>
      </c>
      <c r="N34" s="6" t="s">
        <v>940</v>
      </c>
    </row>
    <row r="35" customFormat="false" ht="19.5" hidden="false" customHeight="true" outlineLevel="0" collapsed="false">
      <c r="A35" s="9" t="s">
        <v>941</v>
      </c>
      <c r="B35" s="12" t="s">
        <v>600</v>
      </c>
      <c r="C35" s="10" t="s">
        <v>896</v>
      </c>
      <c r="D35" s="11" t="s">
        <v>601</v>
      </c>
      <c r="E35" s="12" t="n">
        <v>3000</v>
      </c>
      <c r="F35" s="12" t="n">
        <v>3000</v>
      </c>
      <c r="G35" s="28" t="n">
        <v>0</v>
      </c>
      <c r="H35" s="18" t="n">
        <v>45699</v>
      </c>
      <c r="I35" s="10" t="s">
        <v>853</v>
      </c>
      <c r="J35" s="17" t="s">
        <v>839</v>
      </c>
      <c r="K35" s="10" t="s">
        <v>840</v>
      </c>
      <c r="L35" s="12" t="s">
        <v>841</v>
      </c>
      <c r="M35" s="10" t="s">
        <v>942</v>
      </c>
      <c r="N35" s="11" t="s">
        <v>873</v>
      </c>
    </row>
    <row r="36" customFormat="false" ht="19.5" hidden="false" customHeight="true" outlineLevel="0" collapsed="false">
      <c r="A36" s="4" t="s">
        <v>943</v>
      </c>
      <c r="B36" s="7" t="s">
        <v>605</v>
      </c>
      <c r="C36" s="5" t="s">
        <v>98</v>
      </c>
      <c r="D36" s="6" t="s">
        <v>606</v>
      </c>
      <c r="E36" s="7" t="n">
        <v>3</v>
      </c>
      <c r="F36" s="7" t="n">
        <v>3</v>
      </c>
      <c r="G36" s="27" t="n">
        <v>0</v>
      </c>
      <c r="H36" s="14" t="n">
        <v>45712</v>
      </c>
      <c r="I36" s="5" t="s">
        <v>904</v>
      </c>
      <c r="J36" s="17" t="s">
        <v>839</v>
      </c>
      <c r="K36" s="5" t="s">
        <v>840</v>
      </c>
      <c r="L36" s="7" t="s">
        <v>892</v>
      </c>
      <c r="M36" s="5" t="s">
        <v>939</v>
      </c>
      <c r="N36" s="6" t="s">
        <v>944</v>
      </c>
    </row>
    <row r="37" customFormat="false" ht="19.5" hidden="false" customHeight="true" outlineLevel="0" collapsed="false">
      <c r="A37" s="9" t="s">
        <v>945</v>
      </c>
      <c r="B37" s="12" t="s">
        <v>608</v>
      </c>
      <c r="C37" s="10" t="s">
        <v>290</v>
      </c>
      <c r="D37" s="11" t="s">
        <v>609</v>
      </c>
      <c r="E37" s="12" t="n">
        <v>1</v>
      </c>
      <c r="F37" s="12" t="n">
        <v>1</v>
      </c>
      <c r="G37" s="28" t="n">
        <v>0</v>
      </c>
      <c r="H37" s="18" t="n">
        <v>45730</v>
      </c>
      <c r="I37" s="10" t="s">
        <v>890</v>
      </c>
      <c r="J37" s="17" t="s">
        <v>839</v>
      </c>
      <c r="K37" s="10" t="s">
        <v>946</v>
      </c>
      <c r="L37" s="12" t="s">
        <v>892</v>
      </c>
      <c r="M37" s="10" t="s">
        <v>947</v>
      </c>
      <c r="N37" s="11" t="s">
        <v>948</v>
      </c>
    </row>
    <row r="38" customFormat="false" ht="19.5" hidden="false" customHeight="true" outlineLevel="0" collapsed="false">
      <c r="A38" s="4" t="s">
        <v>949</v>
      </c>
      <c r="B38" s="7" t="s">
        <v>616</v>
      </c>
      <c r="C38" s="5" t="s">
        <v>899</v>
      </c>
      <c r="D38" s="6" t="s">
        <v>617</v>
      </c>
      <c r="E38" s="7" t="n">
        <v>20</v>
      </c>
      <c r="F38" s="7" t="n">
        <v>20</v>
      </c>
      <c r="G38" s="27" t="n">
        <v>0</v>
      </c>
      <c r="H38" s="14" t="n">
        <v>45726</v>
      </c>
      <c r="I38" s="5" t="s">
        <v>881</v>
      </c>
      <c r="J38" s="17" t="s">
        <v>839</v>
      </c>
      <c r="K38" s="5" t="s">
        <v>882</v>
      </c>
      <c r="L38" s="7" t="s">
        <v>841</v>
      </c>
      <c r="M38" s="5" t="s">
        <v>883</v>
      </c>
      <c r="N38" s="6" t="s">
        <v>950</v>
      </c>
    </row>
    <row r="39" customFormat="false" ht="19.5" hidden="false" customHeight="true" outlineLevel="0" collapsed="false">
      <c r="A39" s="9" t="s">
        <v>951</v>
      </c>
      <c r="B39" s="12" t="s">
        <v>625</v>
      </c>
      <c r="C39" s="10" t="s">
        <v>276</v>
      </c>
      <c r="D39" s="11" t="s">
        <v>952</v>
      </c>
      <c r="E39" s="12" t="n">
        <v>1</v>
      </c>
      <c r="F39" s="12" t="n">
        <v>1</v>
      </c>
      <c r="G39" s="28" t="n">
        <v>0</v>
      </c>
      <c r="H39" s="18" t="n">
        <v>45759</v>
      </c>
      <c r="I39" s="10" t="s">
        <v>918</v>
      </c>
      <c r="J39" s="17" t="s">
        <v>839</v>
      </c>
      <c r="K39" s="10" t="s">
        <v>891</v>
      </c>
      <c r="L39" s="12" t="s">
        <v>892</v>
      </c>
      <c r="M39" s="10" t="s">
        <v>953</v>
      </c>
      <c r="N39" s="11" t="s">
        <v>954</v>
      </c>
    </row>
    <row r="40" customFormat="false" ht="19.5" hidden="false" customHeight="true" outlineLevel="0" collapsed="false">
      <c r="A40" s="4" t="s">
        <v>955</v>
      </c>
      <c r="B40" s="7" t="s">
        <v>634</v>
      </c>
      <c r="C40" s="5" t="s">
        <v>17</v>
      </c>
      <c r="D40" s="6" t="s">
        <v>635</v>
      </c>
      <c r="E40" s="7" t="n">
        <v>5000</v>
      </c>
      <c r="F40" s="7" t="n">
        <v>5000</v>
      </c>
      <c r="G40" s="27" t="n">
        <v>0</v>
      </c>
      <c r="H40" s="14" t="n">
        <v>45755</v>
      </c>
      <c r="I40" s="5" t="s">
        <v>846</v>
      </c>
      <c r="J40" s="17" t="s">
        <v>839</v>
      </c>
      <c r="K40" s="5" t="s">
        <v>840</v>
      </c>
      <c r="L40" s="7" t="s">
        <v>841</v>
      </c>
      <c r="M40" s="5" t="s">
        <v>956</v>
      </c>
      <c r="N40" s="6" t="s">
        <v>856</v>
      </c>
    </row>
    <row r="41" customFormat="false" ht="19.5" hidden="false" customHeight="true" outlineLevel="0" collapsed="false">
      <c r="A41" s="9" t="s">
        <v>957</v>
      </c>
      <c r="B41" s="12" t="s">
        <v>637</v>
      </c>
      <c r="C41" s="10" t="s">
        <v>845</v>
      </c>
      <c r="D41" s="11" t="s">
        <v>638</v>
      </c>
      <c r="E41" s="12" t="n">
        <v>6000</v>
      </c>
      <c r="F41" s="12" t="n">
        <v>5800</v>
      </c>
      <c r="G41" s="30" t="n">
        <v>-200</v>
      </c>
      <c r="H41" s="18" t="n">
        <v>45764</v>
      </c>
      <c r="I41" s="10" t="s">
        <v>846</v>
      </c>
      <c r="J41" s="23" t="s">
        <v>850</v>
      </c>
      <c r="K41" s="10" t="s">
        <v>854</v>
      </c>
      <c r="L41" s="12" t="s">
        <v>841</v>
      </c>
      <c r="M41" s="10" t="s">
        <v>958</v>
      </c>
      <c r="N41" s="11" t="s">
        <v>959</v>
      </c>
    </row>
    <row r="42" customFormat="false" ht="19.5" hidden="false" customHeight="true" outlineLevel="0" collapsed="false">
      <c r="A42" s="4" t="s">
        <v>960</v>
      </c>
      <c r="B42" s="7" t="s">
        <v>650</v>
      </c>
      <c r="C42" s="5" t="s">
        <v>961</v>
      </c>
      <c r="D42" s="6" t="s">
        <v>651</v>
      </c>
      <c r="E42" s="7" t="n">
        <v>1</v>
      </c>
      <c r="F42" s="7" t="n">
        <v>1</v>
      </c>
      <c r="G42" s="27" t="n">
        <v>0</v>
      </c>
      <c r="H42" s="14" t="n">
        <v>45803</v>
      </c>
      <c r="I42" s="5" t="s">
        <v>904</v>
      </c>
      <c r="J42" s="17" t="s">
        <v>839</v>
      </c>
      <c r="K42" s="5" t="s">
        <v>946</v>
      </c>
      <c r="L42" s="7" t="s">
        <v>892</v>
      </c>
      <c r="M42" s="5" t="s">
        <v>962</v>
      </c>
      <c r="N42" s="6" t="s">
        <v>963</v>
      </c>
    </row>
    <row r="43" customFormat="false" ht="19.5" hidden="false" customHeight="true" outlineLevel="0" collapsed="false">
      <c r="A43" s="9" t="s">
        <v>964</v>
      </c>
      <c r="B43" s="12" t="s">
        <v>672</v>
      </c>
      <c r="C43" s="10" t="s">
        <v>150</v>
      </c>
      <c r="D43" s="11" t="s">
        <v>673</v>
      </c>
      <c r="E43" s="12" t="n">
        <v>25</v>
      </c>
      <c r="F43" s="12" t="n">
        <v>25</v>
      </c>
      <c r="G43" s="28" t="n">
        <v>0</v>
      </c>
      <c r="H43" s="18" t="n">
        <v>45824</v>
      </c>
      <c r="I43" s="10" t="s">
        <v>881</v>
      </c>
      <c r="J43" s="17" t="s">
        <v>839</v>
      </c>
      <c r="K43" s="10" t="s">
        <v>882</v>
      </c>
      <c r="L43" s="12" t="s">
        <v>841</v>
      </c>
      <c r="M43" s="10" t="s">
        <v>883</v>
      </c>
      <c r="N43" s="11" t="s">
        <v>856</v>
      </c>
    </row>
    <row r="44" customFormat="false" ht="19.5" hidden="false" customHeight="true" outlineLevel="0" collapsed="false">
      <c r="A44" s="4" t="s">
        <v>965</v>
      </c>
      <c r="B44" s="7" t="s">
        <v>675</v>
      </c>
      <c r="C44" s="5" t="s">
        <v>966</v>
      </c>
      <c r="D44" s="6" t="s">
        <v>676</v>
      </c>
      <c r="E44" s="7" t="n">
        <v>1</v>
      </c>
      <c r="F44" s="7" t="n">
        <v>1</v>
      </c>
      <c r="G44" s="27" t="n">
        <v>0</v>
      </c>
      <c r="H44" s="14" t="n">
        <v>45850</v>
      </c>
      <c r="I44" s="5" t="s">
        <v>890</v>
      </c>
      <c r="J44" s="17" t="s">
        <v>839</v>
      </c>
      <c r="K44" s="5" t="s">
        <v>946</v>
      </c>
      <c r="L44" s="7" t="s">
        <v>892</v>
      </c>
      <c r="M44" s="5" t="s">
        <v>947</v>
      </c>
      <c r="N44" s="6" t="s">
        <v>967</v>
      </c>
    </row>
    <row r="45" customFormat="false" ht="19.5" hidden="false" customHeight="true" outlineLevel="0" collapsed="false">
      <c r="A45" s="9" t="s">
        <v>968</v>
      </c>
      <c r="B45" s="12" t="s">
        <v>680</v>
      </c>
      <c r="C45" s="10" t="s">
        <v>17</v>
      </c>
      <c r="D45" s="11" t="s">
        <v>585</v>
      </c>
      <c r="E45" s="12" t="n">
        <v>6000</v>
      </c>
      <c r="F45" s="12" t="n">
        <v>6000</v>
      </c>
      <c r="G45" s="28" t="n">
        <v>0</v>
      </c>
      <c r="H45" s="18" t="n">
        <v>45846</v>
      </c>
      <c r="I45" s="10" t="s">
        <v>846</v>
      </c>
      <c r="J45" s="17" t="s">
        <v>839</v>
      </c>
      <c r="K45" s="10" t="s">
        <v>840</v>
      </c>
      <c r="L45" s="12" t="s">
        <v>841</v>
      </c>
      <c r="M45" s="10" t="s">
        <v>956</v>
      </c>
      <c r="N45" s="11" t="s">
        <v>969</v>
      </c>
    </row>
    <row r="46" customFormat="false" ht="19.5" hidden="false" customHeight="true" outlineLevel="0" collapsed="false">
      <c r="A46" s="4" t="s">
        <v>970</v>
      </c>
      <c r="B46" s="7" t="s">
        <v>682</v>
      </c>
      <c r="C46" s="5" t="s">
        <v>845</v>
      </c>
      <c r="D46" s="6" t="s">
        <v>683</v>
      </c>
      <c r="E46" s="7" t="n">
        <v>4000</v>
      </c>
      <c r="F46" s="7" t="n">
        <v>4000</v>
      </c>
      <c r="G46" s="27" t="n">
        <v>0</v>
      </c>
      <c r="H46" s="14" t="n">
        <v>45856</v>
      </c>
      <c r="I46" s="5" t="s">
        <v>846</v>
      </c>
      <c r="J46" s="17" t="s">
        <v>839</v>
      </c>
      <c r="K46" s="5" t="s">
        <v>854</v>
      </c>
      <c r="L46" s="7" t="s">
        <v>841</v>
      </c>
      <c r="M46" s="5" t="s">
        <v>958</v>
      </c>
      <c r="N46" s="6" t="s">
        <v>971</v>
      </c>
    </row>
    <row r="47" customFormat="false" ht="19.5" hidden="false" customHeight="true" outlineLevel="0" collapsed="false">
      <c r="A47" s="9" t="s">
        <v>972</v>
      </c>
      <c r="B47" s="12" t="s">
        <v>685</v>
      </c>
      <c r="C47" s="10" t="s">
        <v>927</v>
      </c>
      <c r="D47" s="11" t="s">
        <v>973</v>
      </c>
      <c r="E47" s="12" t="n">
        <v>1</v>
      </c>
      <c r="F47" s="12" t="n">
        <v>1</v>
      </c>
      <c r="G47" s="28" t="n">
        <v>0</v>
      </c>
      <c r="H47" s="18" t="n">
        <v>45876</v>
      </c>
      <c r="I47" s="10" t="s">
        <v>928</v>
      </c>
      <c r="J47" s="17" t="s">
        <v>839</v>
      </c>
      <c r="K47" s="10" t="s">
        <v>891</v>
      </c>
      <c r="L47" s="12" t="s">
        <v>892</v>
      </c>
      <c r="M47" s="10" t="s">
        <v>953</v>
      </c>
      <c r="N47" s="11" t="s">
        <v>974</v>
      </c>
    </row>
    <row r="48" customFormat="false" ht="19.5" hidden="false" customHeight="true" outlineLevel="0" collapsed="false">
      <c r="A48" s="4" t="s">
        <v>975</v>
      </c>
      <c r="B48" s="7" t="s">
        <v>693</v>
      </c>
      <c r="C48" s="5" t="s">
        <v>858</v>
      </c>
      <c r="D48" s="6" t="s">
        <v>694</v>
      </c>
      <c r="E48" s="7" t="n">
        <v>4</v>
      </c>
      <c r="F48" s="7" t="n">
        <v>4</v>
      </c>
      <c r="G48" s="27" t="n">
        <v>0</v>
      </c>
      <c r="H48" s="14" t="n">
        <v>45887</v>
      </c>
      <c r="I48" s="5" t="s">
        <v>904</v>
      </c>
      <c r="J48" s="17" t="s">
        <v>839</v>
      </c>
      <c r="K48" s="5" t="s">
        <v>840</v>
      </c>
      <c r="L48" s="7" t="s">
        <v>892</v>
      </c>
      <c r="M48" s="5" t="s">
        <v>976</v>
      </c>
      <c r="N48" s="6" t="s">
        <v>977</v>
      </c>
    </row>
    <row r="49" customFormat="false" ht="19.5" hidden="false" customHeight="true" outlineLevel="0" collapsed="false">
      <c r="A49" s="9" t="s">
        <v>978</v>
      </c>
      <c r="B49" s="12" t="s">
        <v>696</v>
      </c>
      <c r="C49" s="10" t="s">
        <v>896</v>
      </c>
      <c r="D49" s="11" t="s">
        <v>697</v>
      </c>
      <c r="E49" s="12" t="n">
        <v>800</v>
      </c>
      <c r="F49" s="12" t="n">
        <v>800</v>
      </c>
      <c r="G49" s="28" t="n">
        <v>0</v>
      </c>
      <c r="H49" s="18" t="n">
        <v>45882</v>
      </c>
      <c r="I49" s="10" t="s">
        <v>911</v>
      </c>
      <c r="J49" s="17" t="s">
        <v>839</v>
      </c>
      <c r="K49" s="10" t="s">
        <v>840</v>
      </c>
      <c r="L49" s="12" t="s">
        <v>841</v>
      </c>
      <c r="M49" s="10" t="s">
        <v>979</v>
      </c>
      <c r="N49" s="11" t="s">
        <v>980</v>
      </c>
    </row>
    <row r="50" customFormat="false" ht="19.5" hidden="false" customHeight="true" outlineLevel="0" collapsed="false">
      <c r="A50" s="4" t="s">
        <v>981</v>
      </c>
      <c r="B50" s="7" t="s">
        <v>701</v>
      </c>
      <c r="C50" s="5" t="s">
        <v>899</v>
      </c>
      <c r="D50" s="6" t="s">
        <v>702</v>
      </c>
      <c r="E50" s="7" t="n">
        <v>30</v>
      </c>
      <c r="F50" s="7" t="n">
        <v>30</v>
      </c>
      <c r="G50" s="27" t="n">
        <v>0</v>
      </c>
      <c r="H50" s="14" t="n">
        <v>45888</v>
      </c>
      <c r="I50" s="5" t="s">
        <v>881</v>
      </c>
      <c r="J50" s="17" t="s">
        <v>839</v>
      </c>
      <c r="K50" s="5" t="s">
        <v>882</v>
      </c>
      <c r="L50" s="7" t="s">
        <v>841</v>
      </c>
      <c r="M50" s="5" t="s">
        <v>883</v>
      </c>
      <c r="N50" s="6" t="s">
        <v>982</v>
      </c>
    </row>
    <row r="51" customFormat="false" ht="19.5" hidden="false" customHeight="true" outlineLevel="0" collapsed="false">
      <c r="A51" s="9" t="s">
        <v>983</v>
      </c>
      <c r="B51" s="12" t="s">
        <v>726</v>
      </c>
      <c r="C51" s="10" t="s">
        <v>17</v>
      </c>
      <c r="D51" s="11" t="s">
        <v>585</v>
      </c>
      <c r="E51" s="12" t="n">
        <v>7000</v>
      </c>
      <c r="F51" s="12" t="n">
        <v>7000</v>
      </c>
      <c r="G51" s="28" t="n">
        <v>0</v>
      </c>
      <c r="H51" s="18" t="n">
        <v>45945</v>
      </c>
      <c r="I51" s="10" t="s">
        <v>846</v>
      </c>
      <c r="J51" s="17" t="s">
        <v>839</v>
      </c>
      <c r="K51" s="10" t="s">
        <v>840</v>
      </c>
      <c r="L51" s="12" t="s">
        <v>841</v>
      </c>
      <c r="M51" s="10" t="s">
        <v>984</v>
      </c>
      <c r="N51" s="11" t="s">
        <v>985</v>
      </c>
    </row>
    <row r="52" customFormat="false" ht="19.5" hidden="false" customHeight="true" outlineLevel="0" collapsed="false">
      <c r="A52" s="4" t="s">
        <v>986</v>
      </c>
      <c r="B52" s="7" t="s">
        <v>728</v>
      </c>
      <c r="C52" s="5" t="s">
        <v>845</v>
      </c>
      <c r="D52" s="6" t="s">
        <v>729</v>
      </c>
      <c r="E52" s="7" t="n">
        <v>3000</v>
      </c>
      <c r="F52" s="7" t="n">
        <v>3000</v>
      </c>
      <c r="G52" s="27" t="n">
        <v>0</v>
      </c>
      <c r="H52" s="14" t="n">
        <v>45954</v>
      </c>
      <c r="I52" s="5" t="s">
        <v>846</v>
      </c>
      <c r="J52" s="17" t="s">
        <v>839</v>
      </c>
      <c r="K52" s="5" t="s">
        <v>854</v>
      </c>
      <c r="L52" s="7" t="s">
        <v>841</v>
      </c>
      <c r="M52" s="5" t="s">
        <v>958</v>
      </c>
      <c r="N52" s="6" t="s">
        <v>987</v>
      </c>
    </row>
    <row r="53" customFormat="false" ht="19.5" hidden="false" customHeight="true" outlineLevel="0" collapsed="false">
      <c r="A53" s="9" t="s">
        <v>988</v>
      </c>
      <c r="B53" s="12" t="s">
        <v>744</v>
      </c>
      <c r="C53" s="10" t="s">
        <v>276</v>
      </c>
      <c r="D53" s="11" t="s">
        <v>989</v>
      </c>
      <c r="E53" s="12" t="n">
        <v>1</v>
      </c>
      <c r="F53" s="12" t="n">
        <v>1</v>
      </c>
      <c r="G53" s="28" t="n">
        <v>0</v>
      </c>
      <c r="H53" s="18" t="n">
        <v>45999</v>
      </c>
      <c r="I53" s="10" t="s">
        <v>918</v>
      </c>
      <c r="J53" s="17" t="s">
        <v>839</v>
      </c>
      <c r="K53" s="10" t="s">
        <v>891</v>
      </c>
      <c r="L53" s="12" t="s">
        <v>892</v>
      </c>
      <c r="M53" s="10" t="s">
        <v>953</v>
      </c>
      <c r="N53" s="11" t="s">
        <v>990</v>
      </c>
    </row>
    <row r="54" customFormat="false" ht="19.5" hidden="false" customHeight="true" outlineLevel="0" collapsed="false">
      <c r="A54" s="4" t="s">
        <v>991</v>
      </c>
      <c r="B54" s="7" t="s">
        <v>758</v>
      </c>
      <c r="C54" s="5" t="s">
        <v>858</v>
      </c>
      <c r="D54" s="6" t="s">
        <v>759</v>
      </c>
      <c r="E54" s="7" t="n">
        <v>2</v>
      </c>
      <c r="F54" s="7" t="n">
        <v>2</v>
      </c>
      <c r="G54" s="27" t="n">
        <v>0</v>
      </c>
      <c r="H54" s="14" t="n">
        <v>46008</v>
      </c>
      <c r="I54" s="5" t="s">
        <v>904</v>
      </c>
      <c r="J54" s="17" t="s">
        <v>839</v>
      </c>
      <c r="K54" s="5" t="s">
        <v>882</v>
      </c>
      <c r="L54" s="7" t="s">
        <v>892</v>
      </c>
      <c r="M54" s="5" t="s">
        <v>992</v>
      </c>
      <c r="N54" s="6" t="s">
        <v>993</v>
      </c>
    </row>
    <row r="55" customFormat="false" ht="19.5" hidden="false" customHeight="true" outlineLevel="0" collapsed="false">
      <c r="A55" s="9" t="s">
        <v>994</v>
      </c>
      <c r="B55" s="12" t="s">
        <v>761</v>
      </c>
      <c r="C55" s="10" t="s">
        <v>17</v>
      </c>
      <c r="D55" s="11" t="s">
        <v>585</v>
      </c>
      <c r="E55" s="12" t="n">
        <v>8000</v>
      </c>
      <c r="F55" s="12" t="n">
        <v>8000</v>
      </c>
      <c r="G55" s="28" t="n">
        <v>0</v>
      </c>
      <c r="H55" s="18" t="n">
        <v>46003</v>
      </c>
      <c r="I55" s="10" t="s">
        <v>846</v>
      </c>
      <c r="J55" s="17" t="s">
        <v>839</v>
      </c>
      <c r="K55" s="10" t="s">
        <v>840</v>
      </c>
      <c r="L55" s="12" t="s">
        <v>841</v>
      </c>
      <c r="M55" s="10" t="s">
        <v>984</v>
      </c>
      <c r="N55" s="11" t="s">
        <v>995</v>
      </c>
    </row>
    <row r="56" customFormat="false" ht="19.5" hidden="false" customHeight="true" outlineLevel="0" collapsed="false">
      <c r="A56" s="4" t="s">
        <v>996</v>
      </c>
      <c r="B56" s="7" t="s">
        <v>766</v>
      </c>
      <c r="C56" s="5" t="s">
        <v>17</v>
      </c>
      <c r="D56" s="6" t="s">
        <v>585</v>
      </c>
      <c r="E56" s="7" t="n">
        <v>8000</v>
      </c>
      <c r="F56" s="7" t="n">
        <v>8000</v>
      </c>
      <c r="G56" s="27" t="n">
        <v>0</v>
      </c>
      <c r="H56" s="14" t="n">
        <v>46034</v>
      </c>
      <c r="I56" s="5" t="s">
        <v>846</v>
      </c>
      <c r="J56" s="17" t="s">
        <v>839</v>
      </c>
      <c r="K56" s="5" t="s">
        <v>840</v>
      </c>
      <c r="L56" s="7" t="s">
        <v>841</v>
      </c>
      <c r="M56" s="5" t="s">
        <v>997</v>
      </c>
      <c r="N56" s="6" t="s">
        <v>856</v>
      </c>
    </row>
    <row r="57" customFormat="false" ht="19.5" hidden="false" customHeight="true" outlineLevel="0" collapsed="false">
      <c r="A57" s="9" t="s">
        <v>998</v>
      </c>
      <c r="B57" s="12" t="s">
        <v>769</v>
      </c>
      <c r="C57" s="10" t="s">
        <v>845</v>
      </c>
      <c r="D57" s="11" t="s">
        <v>770</v>
      </c>
      <c r="E57" s="12" t="n">
        <v>2500</v>
      </c>
      <c r="F57" s="12" t="n">
        <v>2500</v>
      </c>
      <c r="G57" s="28" t="n">
        <v>0</v>
      </c>
      <c r="H57" s="18" t="n">
        <v>46043</v>
      </c>
      <c r="I57" s="10" t="s">
        <v>846</v>
      </c>
      <c r="J57" s="17" t="s">
        <v>839</v>
      </c>
      <c r="K57" s="10" t="s">
        <v>854</v>
      </c>
      <c r="L57" s="12" t="s">
        <v>841</v>
      </c>
      <c r="M57" s="10" t="s">
        <v>958</v>
      </c>
      <c r="N57" s="11" t="s">
        <v>999</v>
      </c>
    </row>
    <row r="58" customFormat="false" ht="19.5" hidden="false" customHeight="true" outlineLevel="0" collapsed="false">
      <c r="A58" s="4" t="s">
        <v>1000</v>
      </c>
      <c r="B58" s="7" t="s">
        <v>772</v>
      </c>
      <c r="C58" s="5" t="s">
        <v>858</v>
      </c>
      <c r="D58" s="6" t="s">
        <v>773</v>
      </c>
      <c r="E58" s="7" t="n">
        <v>8</v>
      </c>
      <c r="F58" s="7" t="n">
        <v>8</v>
      </c>
      <c r="G58" s="27" t="n">
        <v>0</v>
      </c>
      <c r="H58" s="14" t="n">
        <v>46046</v>
      </c>
      <c r="I58" s="5" t="s">
        <v>904</v>
      </c>
      <c r="J58" s="17" t="s">
        <v>839</v>
      </c>
      <c r="K58" s="5" t="s">
        <v>840</v>
      </c>
      <c r="L58" s="7" t="s">
        <v>892</v>
      </c>
      <c r="M58" s="5" t="s">
        <v>976</v>
      </c>
      <c r="N58" s="6" t="s">
        <v>1001</v>
      </c>
    </row>
    <row r="59" customFormat="false" ht="19.5" hidden="false" customHeight="true" outlineLevel="0" collapsed="false">
      <c r="A59" s="9" t="s">
        <v>1002</v>
      </c>
      <c r="B59" s="12" t="s">
        <v>775</v>
      </c>
      <c r="C59" s="10" t="s">
        <v>899</v>
      </c>
      <c r="D59" s="11" t="s">
        <v>776</v>
      </c>
      <c r="E59" s="12" t="n">
        <v>25</v>
      </c>
      <c r="F59" s="12" t="n">
        <v>25</v>
      </c>
      <c r="G59" s="28" t="n">
        <v>0</v>
      </c>
      <c r="H59" s="18" t="n">
        <v>46042</v>
      </c>
      <c r="I59" s="10" t="s">
        <v>881</v>
      </c>
      <c r="J59" s="17" t="s">
        <v>839</v>
      </c>
      <c r="K59" s="10" t="s">
        <v>882</v>
      </c>
      <c r="L59" s="12" t="s">
        <v>841</v>
      </c>
      <c r="M59" s="10" t="s">
        <v>883</v>
      </c>
      <c r="N59" s="11" t="s">
        <v>1003</v>
      </c>
    </row>
    <row r="60" customFormat="false" ht="19.5" hidden="false" customHeight="true" outlineLevel="0" collapsed="false">
      <c r="A60" s="4" t="s">
        <v>1004</v>
      </c>
      <c r="B60" s="7" t="s">
        <v>778</v>
      </c>
      <c r="C60" s="5" t="s">
        <v>112</v>
      </c>
      <c r="D60" s="6" t="s">
        <v>779</v>
      </c>
      <c r="E60" s="7" t="n">
        <v>150</v>
      </c>
      <c r="F60" s="7" t="n">
        <v>150</v>
      </c>
      <c r="G60" s="27" t="n">
        <v>0</v>
      </c>
      <c r="H60" s="14" t="n">
        <v>46044</v>
      </c>
      <c r="I60" s="5" t="s">
        <v>862</v>
      </c>
      <c r="J60" s="17" t="s">
        <v>839</v>
      </c>
      <c r="K60" s="5" t="s">
        <v>862</v>
      </c>
      <c r="L60" s="7" t="s">
        <v>841</v>
      </c>
      <c r="M60" s="5" t="s">
        <v>863</v>
      </c>
      <c r="N60" s="6" t="s">
        <v>1005</v>
      </c>
    </row>
    <row r="61" customFormat="false" ht="19.5" hidden="false" customHeight="true" outlineLevel="0" collapsed="false">
      <c r="A61" s="9" t="s">
        <v>1006</v>
      </c>
      <c r="B61" s="12" t="s">
        <v>781</v>
      </c>
      <c r="C61" s="10" t="s">
        <v>127</v>
      </c>
      <c r="D61" s="11" t="s">
        <v>487</v>
      </c>
      <c r="E61" s="12" t="n">
        <v>40000</v>
      </c>
      <c r="F61" s="12" t="n">
        <v>40000</v>
      </c>
      <c r="G61" s="28" t="n">
        <v>0</v>
      </c>
      <c r="H61" s="18" t="n">
        <v>46052</v>
      </c>
      <c r="I61" s="10" t="s">
        <v>867</v>
      </c>
      <c r="J61" s="17" t="s">
        <v>839</v>
      </c>
      <c r="K61" s="10" t="s">
        <v>868</v>
      </c>
      <c r="L61" s="12" t="s">
        <v>869</v>
      </c>
      <c r="M61" s="10" t="s">
        <v>1007</v>
      </c>
      <c r="N61" s="11" t="s">
        <v>1008</v>
      </c>
    </row>
  </sheetData>
  <autoFilter ref="A3:N61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3" min="11" style="0" width="16"/>
  </cols>
  <sheetData>
    <row r="1" customFormat="false" ht="45.75" hidden="false" customHeight="true" outlineLevel="0" collapsed="false">
      <c r="A1" s="1" t="s">
        <v>1009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1010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1011</v>
      </c>
      <c r="B3" s="3" t="s">
        <v>825</v>
      </c>
      <c r="C3" s="3" t="s">
        <v>325</v>
      </c>
      <c r="D3" s="3" t="s">
        <v>1012</v>
      </c>
      <c r="E3" s="3" t="s">
        <v>1013</v>
      </c>
      <c r="F3" s="3" t="s">
        <v>1014</v>
      </c>
      <c r="G3" s="3" t="s">
        <v>1015</v>
      </c>
      <c r="H3" s="3" t="s">
        <v>1016</v>
      </c>
      <c r="I3" s="3" t="s">
        <v>1017</v>
      </c>
      <c r="J3" s="3" t="s">
        <v>1018</v>
      </c>
      <c r="K3" s="3" t="s">
        <v>1019</v>
      </c>
      <c r="L3" s="3" t="s">
        <v>1020</v>
      </c>
      <c r="M3" s="3" t="s">
        <v>1021</v>
      </c>
    </row>
    <row r="4" customFormat="false" ht="18" hidden="false" customHeight="true" outlineLevel="0" collapsed="false">
      <c r="A4" s="4" t="s">
        <v>1022</v>
      </c>
      <c r="B4" s="7" t="s">
        <v>339</v>
      </c>
      <c r="C4" s="5" t="s">
        <v>17</v>
      </c>
      <c r="D4" s="5" t="s">
        <v>1023</v>
      </c>
      <c r="E4" s="14" t="n">
        <v>45306</v>
      </c>
      <c r="F4" s="15" t="n">
        <v>625632</v>
      </c>
      <c r="G4" s="14" t="n">
        <v>45336</v>
      </c>
      <c r="H4" s="14" t="n">
        <v>45332</v>
      </c>
      <c r="I4" s="15" t="n">
        <v>625632</v>
      </c>
      <c r="J4" s="15" t="n">
        <v>0</v>
      </c>
      <c r="K4" s="27" t="n">
        <v>0</v>
      </c>
      <c r="L4" s="5" t="s">
        <v>1024</v>
      </c>
      <c r="M4" s="17" t="s">
        <v>1025</v>
      </c>
    </row>
    <row r="5" customFormat="false" ht="18" hidden="false" customHeight="true" outlineLevel="0" collapsed="false">
      <c r="A5" s="9" t="s">
        <v>1026</v>
      </c>
      <c r="B5" s="12" t="s">
        <v>344</v>
      </c>
      <c r="C5" s="10" t="s">
        <v>845</v>
      </c>
      <c r="D5" s="10" t="s">
        <v>1027</v>
      </c>
      <c r="E5" s="18" t="n">
        <v>45315</v>
      </c>
      <c r="F5" s="19" t="n">
        <v>1075620</v>
      </c>
      <c r="G5" s="18" t="n">
        <v>45345</v>
      </c>
      <c r="H5" s="18" t="n">
        <v>45342</v>
      </c>
      <c r="I5" s="19" t="n">
        <v>1075620</v>
      </c>
      <c r="J5" s="19" t="n">
        <v>0</v>
      </c>
      <c r="K5" s="28" t="n">
        <v>0</v>
      </c>
      <c r="L5" s="10" t="s">
        <v>1028</v>
      </c>
      <c r="M5" s="17" t="s">
        <v>1025</v>
      </c>
    </row>
    <row r="6" customFormat="false" ht="18" hidden="false" customHeight="true" outlineLevel="0" collapsed="false">
      <c r="A6" s="4" t="s">
        <v>1029</v>
      </c>
      <c r="B6" s="7" t="s">
        <v>347</v>
      </c>
      <c r="C6" s="5" t="s">
        <v>845</v>
      </c>
      <c r="D6" s="5" t="s">
        <v>1030</v>
      </c>
      <c r="E6" s="14" t="n">
        <v>45315</v>
      </c>
      <c r="F6" s="15" t="n">
        <v>926688</v>
      </c>
      <c r="G6" s="14" t="n">
        <v>45345</v>
      </c>
      <c r="H6" s="14" t="n">
        <v>45344</v>
      </c>
      <c r="I6" s="15" t="n">
        <v>926688</v>
      </c>
      <c r="J6" s="15" t="n">
        <v>0</v>
      </c>
      <c r="K6" s="27" t="n">
        <v>0</v>
      </c>
      <c r="L6" s="5" t="s">
        <v>1028</v>
      </c>
      <c r="M6" s="17" t="s">
        <v>1025</v>
      </c>
    </row>
    <row r="7" customFormat="false" ht="18" hidden="false" customHeight="true" outlineLevel="0" collapsed="false">
      <c r="A7" s="9" t="s">
        <v>1031</v>
      </c>
      <c r="B7" s="12" t="s">
        <v>349</v>
      </c>
      <c r="C7" s="10" t="s">
        <v>68</v>
      </c>
      <c r="D7" s="10" t="s">
        <v>1032</v>
      </c>
      <c r="E7" s="18" t="n">
        <v>45309</v>
      </c>
      <c r="F7" s="19" t="n">
        <v>700000</v>
      </c>
      <c r="G7" s="18" t="n">
        <v>45339</v>
      </c>
      <c r="H7" s="18" t="n">
        <v>45334</v>
      </c>
      <c r="I7" s="19" t="n">
        <v>700000</v>
      </c>
      <c r="J7" s="19" t="n">
        <v>0</v>
      </c>
      <c r="K7" s="28" t="n">
        <v>0</v>
      </c>
      <c r="L7" s="10" t="s">
        <v>1024</v>
      </c>
      <c r="M7" s="17" t="s">
        <v>1025</v>
      </c>
    </row>
    <row r="8" customFormat="false" ht="18" hidden="false" customHeight="true" outlineLevel="0" collapsed="false">
      <c r="A8" s="4" t="s">
        <v>1033</v>
      </c>
      <c r="B8" s="7" t="s">
        <v>353</v>
      </c>
      <c r="C8" s="5" t="s">
        <v>858</v>
      </c>
      <c r="D8" s="5" t="s">
        <v>1034</v>
      </c>
      <c r="E8" s="14" t="n">
        <v>45323</v>
      </c>
      <c r="F8" s="15" t="n">
        <v>452200</v>
      </c>
      <c r="G8" s="14" t="n">
        <v>45368</v>
      </c>
      <c r="H8" s="14" t="n">
        <v>45365</v>
      </c>
      <c r="I8" s="15" t="n">
        <v>452200</v>
      </c>
      <c r="J8" s="15" t="n">
        <v>0</v>
      </c>
      <c r="K8" s="27" t="n">
        <v>0</v>
      </c>
      <c r="L8" s="5" t="s">
        <v>1024</v>
      </c>
      <c r="M8" s="17" t="s">
        <v>1025</v>
      </c>
    </row>
    <row r="9" customFormat="false" ht="18" hidden="false" customHeight="true" outlineLevel="0" collapsed="false">
      <c r="A9" s="9" t="s">
        <v>1035</v>
      </c>
      <c r="B9" s="12" t="s">
        <v>362</v>
      </c>
      <c r="C9" s="10" t="s">
        <v>127</v>
      </c>
      <c r="D9" s="10" t="s">
        <v>1036</v>
      </c>
      <c r="E9" s="18" t="n">
        <v>45319</v>
      </c>
      <c r="F9" s="19" t="n">
        <v>778400</v>
      </c>
      <c r="G9" s="18" t="n">
        <v>45334</v>
      </c>
      <c r="H9" s="18" t="n">
        <v>45332</v>
      </c>
      <c r="I9" s="19" t="n">
        <v>778400</v>
      </c>
      <c r="J9" s="19" t="n">
        <v>0</v>
      </c>
      <c r="K9" s="28" t="n">
        <v>0</v>
      </c>
      <c r="L9" s="10" t="s">
        <v>1024</v>
      </c>
      <c r="M9" s="17" t="s">
        <v>1025</v>
      </c>
    </row>
    <row r="10" customFormat="false" ht="18" hidden="false" customHeight="true" outlineLevel="0" collapsed="false">
      <c r="A10" s="4" t="s">
        <v>1037</v>
      </c>
      <c r="B10" s="7" t="s">
        <v>366</v>
      </c>
      <c r="C10" s="5" t="s">
        <v>17</v>
      </c>
      <c r="D10" s="5" t="s">
        <v>1038</v>
      </c>
      <c r="E10" s="14" t="n">
        <v>45334</v>
      </c>
      <c r="F10" s="15" t="n">
        <v>938448</v>
      </c>
      <c r="G10" s="14" t="n">
        <v>45364</v>
      </c>
      <c r="H10" s="14" t="n">
        <v>45361</v>
      </c>
      <c r="I10" s="15" t="n">
        <v>938448</v>
      </c>
      <c r="J10" s="15" t="n">
        <v>0</v>
      </c>
      <c r="K10" s="27" t="n">
        <v>0</v>
      </c>
      <c r="L10" s="5" t="s">
        <v>1024</v>
      </c>
      <c r="M10" s="17" t="s">
        <v>1025</v>
      </c>
    </row>
    <row r="11" customFormat="false" ht="18" hidden="false" customHeight="true" outlineLevel="0" collapsed="false">
      <c r="A11" s="9" t="s">
        <v>1039</v>
      </c>
      <c r="B11" s="12" t="s">
        <v>373</v>
      </c>
      <c r="C11" s="10" t="s">
        <v>845</v>
      </c>
      <c r="D11" s="10" t="s">
        <v>1040</v>
      </c>
      <c r="E11" s="18" t="n">
        <v>45348</v>
      </c>
      <c r="F11" s="19" t="n">
        <v>1059072</v>
      </c>
      <c r="G11" s="18" t="n">
        <v>45378</v>
      </c>
      <c r="H11" s="18" t="n">
        <v>45376</v>
      </c>
      <c r="I11" s="19" t="n">
        <v>1059072</v>
      </c>
      <c r="J11" s="19" t="n">
        <v>0</v>
      </c>
      <c r="K11" s="28" t="n">
        <v>0</v>
      </c>
      <c r="L11" s="10" t="s">
        <v>1028</v>
      </c>
      <c r="M11" s="17" t="s">
        <v>1025</v>
      </c>
    </row>
    <row r="12" customFormat="false" ht="18" hidden="false" customHeight="true" outlineLevel="0" collapsed="false">
      <c r="A12" s="4" t="s">
        <v>1041</v>
      </c>
      <c r="B12" s="7" t="s">
        <v>376</v>
      </c>
      <c r="C12" s="5" t="s">
        <v>150</v>
      </c>
      <c r="D12" s="5" t="s">
        <v>1042</v>
      </c>
      <c r="E12" s="14" t="n">
        <v>45344</v>
      </c>
      <c r="F12" s="15" t="n">
        <v>196840</v>
      </c>
      <c r="G12" s="14" t="n">
        <v>45374</v>
      </c>
      <c r="H12" s="14" t="n">
        <v>45371</v>
      </c>
      <c r="I12" s="15" t="n">
        <v>196840</v>
      </c>
      <c r="J12" s="15" t="n">
        <v>0</v>
      </c>
      <c r="K12" s="27" t="n">
        <v>0</v>
      </c>
      <c r="L12" s="5" t="s">
        <v>1024</v>
      </c>
      <c r="M12" s="17" t="s">
        <v>1025</v>
      </c>
    </row>
    <row r="13" customFormat="false" ht="18" hidden="false" customHeight="true" outlineLevel="0" collapsed="false">
      <c r="A13" s="9" t="s">
        <v>1043</v>
      </c>
      <c r="B13" s="12" t="s">
        <v>389</v>
      </c>
      <c r="C13" s="10" t="s">
        <v>858</v>
      </c>
      <c r="D13" s="10" t="s">
        <v>1044</v>
      </c>
      <c r="E13" s="18" t="n">
        <v>45366</v>
      </c>
      <c r="F13" s="19" t="n">
        <v>468160</v>
      </c>
      <c r="G13" s="18" t="n">
        <v>45411</v>
      </c>
      <c r="H13" s="18" t="n">
        <v>45407</v>
      </c>
      <c r="I13" s="19" t="n">
        <v>468160</v>
      </c>
      <c r="J13" s="19" t="n">
        <v>0</v>
      </c>
      <c r="K13" s="28" t="n">
        <v>0</v>
      </c>
      <c r="L13" s="10" t="s">
        <v>1024</v>
      </c>
      <c r="M13" s="17" t="s">
        <v>1025</v>
      </c>
    </row>
    <row r="14" customFormat="false" ht="18" hidden="false" customHeight="true" outlineLevel="0" collapsed="false">
      <c r="A14" s="4" t="s">
        <v>1045</v>
      </c>
      <c r="B14" s="7" t="s">
        <v>392</v>
      </c>
      <c r="C14" s="5" t="s">
        <v>961</v>
      </c>
      <c r="D14" s="5" t="s">
        <v>1046</v>
      </c>
      <c r="E14" s="14" t="n">
        <v>45376</v>
      </c>
      <c r="F14" s="15" t="n">
        <v>461720</v>
      </c>
      <c r="G14" s="14" t="n">
        <v>45421</v>
      </c>
      <c r="H14" s="14" t="n">
        <v>45417</v>
      </c>
      <c r="I14" s="15" t="n">
        <v>461720</v>
      </c>
      <c r="J14" s="15" t="n">
        <v>0</v>
      </c>
      <c r="K14" s="27" t="n">
        <v>0</v>
      </c>
      <c r="L14" s="5" t="s">
        <v>1024</v>
      </c>
      <c r="M14" s="17" t="s">
        <v>1025</v>
      </c>
    </row>
    <row r="15" customFormat="false" ht="18" hidden="false" customHeight="true" outlineLevel="0" collapsed="false">
      <c r="A15" s="9" t="s">
        <v>1047</v>
      </c>
      <c r="B15" s="12" t="s">
        <v>403</v>
      </c>
      <c r="C15" s="10" t="s">
        <v>1048</v>
      </c>
      <c r="D15" s="10" t="s">
        <v>1049</v>
      </c>
      <c r="E15" s="18" t="n">
        <v>45397</v>
      </c>
      <c r="F15" s="19" t="n">
        <v>9520000</v>
      </c>
      <c r="G15" s="18" t="n">
        <v>45442</v>
      </c>
      <c r="H15" s="18" t="n">
        <v>45440</v>
      </c>
      <c r="I15" s="19" t="n">
        <v>9520000</v>
      </c>
      <c r="J15" s="19" t="n">
        <v>0</v>
      </c>
      <c r="K15" s="28" t="n">
        <v>0</v>
      </c>
      <c r="L15" s="10" t="s">
        <v>1024</v>
      </c>
      <c r="M15" s="17" t="s">
        <v>1025</v>
      </c>
    </row>
    <row r="16" customFormat="false" ht="18" hidden="false" customHeight="true" outlineLevel="0" collapsed="false">
      <c r="A16" s="4" t="s">
        <v>1050</v>
      </c>
      <c r="B16" s="7" t="s">
        <v>409</v>
      </c>
      <c r="C16" s="5" t="s">
        <v>896</v>
      </c>
      <c r="D16" s="5" t="s">
        <v>1051</v>
      </c>
      <c r="E16" s="14" t="n">
        <v>45391</v>
      </c>
      <c r="F16" s="15" t="n">
        <v>795760</v>
      </c>
      <c r="G16" s="14" t="n">
        <v>45421</v>
      </c>
      <c r="H16" s="14" t="n">
        <v>45418</v>
      </c>
      <c r="I16" s="15" t="n">
        <v>795760</v>
      </c>
      <c r="J16" s="15" t="n">
        <v>0</v>
      </c>
      <c r="K16" s="27" t="n">
        <v>0</v>
      </c>
      <c r="L16" s="5" t="s">
        <v>1024</v>
      </c>
      <c r="M16" s="17" t="s">
        <v>1025</v>
      </c>
    </row>
    <row r="17" customFormat="false" ht="18" hidden="false" customHeight="true" outlineLevel="0" collapsed="false">
      <c r="A17" s="9" t="s">
        <v>1052</v>
      </c>
      <c r="B17" s="12" t="s">
        <v>429</v>
      </c>
      <c r="C17" s="10" t="s">
        <v>899</v>
      </c>
      <c r="D17" s="10" t="s">
        <v>1053</v>
      </c>
      <c r="E17" s="18" t="n">
        <v>45421</v>
      </c>
      <c r="F17" s="19" t="n">
        <v>670320</v>
      </c>
      <c r="G17" s="18" t="n">
        <v>45451</v>
      </c>
      <c r="H17" s="18" t="n">
        <v>45448</v>
      </c>
      <c r="I17" s="19" t="n">
        <v>670320</v>
      </c>
      <c r="J17" s="19" t="n">
        <v>0</v>
      </c>
      <c r="K17" s="28" t="n">
        <v>0</v>
      </c>
      <c r="L17" s="10" t="s">
        <v>1024</v>
      </c>
      <c r="M17" s="17" t="s">
        <v>1025</v>
      </c>
    </row>
    <row r="18" customFormat="false" ht="18" hidden="false" customHeight="true" outlineLevel="0" collapsed="false">
      <c r="A18" s="4" t="s">
        <v>1054</v>
      </c>
      <c r="B18" s="7" t="s">
        <v>437</v>
      </c>
      <c r="C18" s="5" t="s">
        <v>845</v>
      </c>
      <c r="D18" s="5" t="s">
        <v>1055</v>
      </c>
      <c r="E18" s="14" t="n">
        <v>45436</v>
      </c>
      <c r="F18" s="15" t="n">
        <v>1119552</v>
      </c>
      <c r="G18" s="14" t="n">
        <v>45466</v>
      </c>
      <c r="H18" s="14" t="n">
        <v>45463</v>
      </c>
      <c r="I18" s="15" t="n">
        <v>1119552</v>
      </c>
      <c r="J18" s="15" t="n">
        <v>0</v>
      </c>
      <c r="K18" s="27" t="n">
        <v>0</v>
      </c>
      <c r="L18" s="5" t="s">
        <v>1028</v>
      </c>
      <c r="M18" s="17" t="s">
        <v>1025</v>
      </c>
    </row>
    <row r="19" customFormat="false" ht="18" hidden="false" customHeight="true" outlineLevel="0" collapsed="false">
      <c r="A19" s="9" t="s">
        <v>1056</v>
      </c>
      <c r="B19" s="12" t="s">
        <v>452</v>
      </c>
      <c r="C19" s="10" t="s">
        <v>165</v>
      </c>
      <c r="D19" s="10" t="s">
        <v>1057</v>
      </c>
      <c r="E19" s="18" t="n">
        <v>45453</v>
      </c>
      <c r="F19" s="19" t="n">
        <v>578816</v>
      </c>
      <c r="G19" s="18" t="n">
        <v>45483</v>
      </c>
      <c r="H19" s="18" t="n">
        <v>45481</v>
      </c>
      <c r="I19" s="19" t="n">
        <v>578816</v>
      </c>
      <c r="J19" s="19" t="n">
        <v>0</v>
      </c>
      <c r="K19" s="28" t="n">
        <v>0</v>
      </c>
      <c r="L19" s="10" t="s">
        <v>1024</v>
      </c>
      <c r="M19" s="17" t="s">
        <v>1025</v>
      </c>
    </row>
    <row r="20" customFormat="false" ht="18" hidden="false" customHeight="true" outlineLevel="0" collapsed="false">
      <c r="A20" s="4" t="s">
        <v>1058</v>
      </c>
      <c r="B20" s="7" t="s">
        <v>475</v>
      </c>
      <c r="C20" s="5" t="s">
        <v>98</v>
      </c>
      <c r="D20" s="5" t="s">
        <v>1059</v>
      </c>
      <c r="E20" s="14" t="n">
        <v>45497</v>
      </c>
      <c r="F20" s="15" t="n">
        <v>2009840</v>
      </c>
      <c r="G20" s="14" t="n">
        <v>45527</v>
      </c>
      <c r="H20" s="14" t="n">
        <v>45524</v>
      </c>
      <c r="I20" s="15" t="n">
        <v>2009840</v>
      </c>
      <c r="J20" s="15" t="n">
        <v>0</v>
      </c>
      <c r="K20" s="27" t="n">
        <v>0</v>
      </c>
      <c r="L20" s="5" t="s">
        <v>1024</v>
      </c>
      <c r="M20" s="17" t="s">
        <v>1025</v>
      </c>
    </row>
    <row r="21" customFormat="false" ht="18" hidden="false" customHeight="true" outlineLevel="0" collapsed="false">
      <c r="A21" s="9" t="s">
        <v>1060</v>
      </c>
      <c r="B21" s="12" t="s">
        <v>489</v>
      </c>
      <c r="C21" s="10" t="s">
        <v>858</v>
      </c>
      <c r="D21" s="10" t="s">
        <v>1061</v>
      </c>
      <c r="E21" s="18" t="n">
        <v>45520</v>
      </c>
      <c r="F21" s="19" t="n">
        <v>1238496</v>
      </c>
      <c r="G21" s="18" t="n">
        <v>45565</v>
      </c>
      <c r="H21" s="18" t="n">
        <v>45563</v>
      </c>
      <c r="I21" s="19" t="n">
        <v>1238496</v>
      </c>
      <c r="J21" s="19" t="n">
        <v>0</v>
      </c>
      <c r="K21" s="28" t="n">
        <v>0</v>
      </c>
      <c r="L21" s="10" t="s">
        <v>1024</v>
      </c>
      <c r="M21" s="17" t="s">
        <v>1025</v>
      </c>
    </row>
    <row r="22" customFormat="false" ht="18" hidden="false" customHeight="true" outlineLevel="0" collapsed="false">
      <c r="A22" s="4" t="s">
        <v>1062</v>
      </c>
      <c r="B22" s="7" t="s">
        <v>501</v>
      </c>
      <c r="C22" s="5" t="s">
        <v>899</v>
      </c>
      <c r="D22" s="5" t="s">
        <v>1063</v>
      </c>
      <c r="E22" s="14" t="n">
        <v>45526</v>
      </c>
      <c r="F22" s="15" t="n">
        <v>819280</v>
      </c>
      <c r="G22" s="14" t="n">
        <v>45556</v>
      </c>
      <c r="H22" s="14" t="n">
        <v>45553</v>
      </c>
      <c r="I22" s="15" t="n">
        <v>819280</v>
      </c>
      <c r="J22" s="15" t="n">
        <v>0</v>
      </c>
      <c r="K22" s="27" t="n">
        <v>0</v>
      </c>
      <c r="L22" s="5" t="s">
        <v>1024</v>
      </c>
      <c r="M22" s="17" t="s">
        <v>1025</v>
      </c>
    </row>
    <row r="23" customFormat="false" ht="18" hidden="false" customHeight="true" outlineLevel="0" collapsed="false">
      <c r="A23" s="9" t="s">
        <v>1064</v>
      </c>
      <c r="B23" s="12" t="s">
        <v>512</v>
      </c>
      <c r="C23" s="10" t="s">
        <v>276</v>
      </c>
      <c r="D23" s="10" t="s">
        <v>1065</v>
      </c>
      <c r="E23" s="18" t="n">
        <v>45570</v>
      </c>
      <c r="F23" s="19" t="n">
        <v>14000000</v>
      </c>
      <c r="G23" s="18" t="n">
        <v>45600</v>
      </c>
      <c r="H23" s="18" t="n">
        <v>45598</v>
      </c>
      <c r="I23" s="19" t="n">
        <v>14000000</v>
      </c>
      <c r="J23" s="19" t="n">
        <v>0</v>
      </c>
      <c r="K23" s="28" t="n">
        <v>0</v>
      </c>
      <c r="L23" s="10" t="s">
        <v>1024</v>
      </c>
      <c r="M23" s="17" t="s">
        <v>1025</v>
      </c>
    </row>
    <row r="24" customFormat="false" ht="18" hidden="false" customHeight="true" outlineLevel="0" collapsed="false">
      <c r="A24" s="4" t="s">
        <v>1066</v>
      </c>
      <c r="B24" s="7" t="s">
        <v>529</v>
      </c>
      <c r="C24" s="5" t="s">
        <v>17</v>
      </c>
      <c r="D24" s="5" t="s">
        <v>1067</v>
      </c>
      <c r="E24" s="14" t="n">
        <v>45576</v>
      </c>
      <c r="F24" s="15" t="n">
        <v>1295168</v>
      </c>
      <c r="G24" s="14" t="n">
        <v>45606</v>
      </c>
      <c r="H24" s="14" t="n">
        <v>45604</v>
      </c>
      <c r="I24" s="15" t="n">
        <v>1295168</v>
      </c>
      <c r="J24" s="15" t="n">
        <v>0</v>
      </c>
      <c r="K24" s="27" t="n">
        <v>0</v>
      </c>
      <c r="L24" s="5" t="s">
        <v>1024</v>
      </c>
      <c r="M24" s="17" t="s">
        <v>1025</v>
      </c>
    </row>
    <row r="25" customFormat="false" ht="18" hidden="false" customHeight="true" outlineLevel="0" collapsed="false">
      <c r="A25" s="9" t="s">
        <v>1068</v>
      </c>
      <c r="B25" s="12" t="s">
        <v>532</v>
      </c>
      <c r="C25" s="10" t="s">
        <v>845</v>
      </c>
      <c r="D25" s="10" t="s">
        <v>1069</v>
      </c>
      <c r="E25" s="18" t="n">
        <v>45586</v>
      </c>
      <c r="F25" s="19" t="n">
        <v>1152480</v>
      </c>
      <c r="G25" s="18" t="n">
        <v>45616</v>
      </c>
      <c r="H25" s="18" t="n">
        <v>45614</v>
      </c>
      <c r="I25" s="19" t="n">
        <v>1152480</v>
      </c>
      <c r="J25" s="19" t="n">
        <v>0</v>
      </c>
      <c r="K25" s="28" t="n">
        <v>0</v>
      </c>
      <c r="L25" s="10" t="s">
        <v>1028</v>
      </c>
      <c r="M25" s="17" t="s">
        <v>1025</v>
      </c>
    </row>
    <row r="26" customFormat="false" ht="18" hidden="false" customHeight="true" outlineLevel="0" collapsed="false">
      <c r="A26" s="4" t="s">
        <v>1070</v>
      </c>
      <c r="B26" s="7" t="s">
        <v>538</v>
      </c>
      <c r="C26" s="5" t="s">
        <v>98</v>
      </c>
      <c r="D26" s="5" t="s">
        <v>1071</v>
      </c>
      <c r="E26" s="14" t="n">
        <v>45593</v>
      </c>
      <c r="F26" s="15" t="n">
        <v>1205904</v>
      </c>
      <c r="G26" s="14" t="n">
        <v>45623</v>
      </c>
      <c r="H26" s="14" t="n">
        <v>45621</v>
      </c>
      <c r="I26" s="15" t="n">
        <v>1205904</v>
      </c>
      <c r="J26" s="15" t="n">
        <v>0</v>
      </c>
      <c r="K26" s="27" t="n">
        <v>0</v>
      </c>
      <c r="L26" s="5" t="s">
        <v>1024</v>
      </c>
      <c r="M26" s="17" t="s">
        <v>1025</v>
      </c>
    </row>
    <row r="27" customFormat="false" ht="18" hidden="false" customHeight="true" outlineLevel="0" collapsed="false">
      <c r="A27" s="9" t="s">
        <v>1072</v>
      </c>
      <c r="B27" s="12" t="s">
        <v>546</v>
      </c>
      <c r="C27" s="10" t="s">
        <v>1073</v>
      </c>
      <c r="D27" s="10" t="s">
        <v>1074</v>
      </c>
      <c r="E27" s="18" t="n">
        <v>45592</v>
      </c>
      <c r="F27" s="19" t="n">
        <v>191520</v>
      </c>
      <c r="G27" s="18" t="n">
        <v>45622</v>
      </c>
      <c r="H27" s="18" t="n">
        <v>45618</v>
      </c>
      <c r="I27" s="19" t="n">
        <v>191520</v>
      </c>
      <c r="J27" s="19" t="n">
        <v>0</v>
      </c>
      <c r="K27" s="28" t="n">
        <v>0</v>
      </c>
      <c r="L27" s="10" t="s">
        <v>1024</v>
      </c>
      <c r="M27" s="17" t="s">
        <v>1025</v>
      </c>
    </row>
    <row r="28" customFormat="false" ht="18" hidden="false" customHeight="true" outlineLevel="0" collapsed="false">
      <c r="A28" s="4" t="s">
        <v>1075</v>
      </c>
      <c r="B28" s="7" t="s">
        <v>555</v>
      </c>
      <c r="C28" s="5" t="s">
        <v>858</v>
      </c>
      <c r="D28" s="5" t="s">
        <v>1076</v>
      </c>
      <c r="E28" s="14" t="n">
        <v>45617</v>
      </c>
      <c r="F28" s="15" t="n">
        <v>154812</v>
      </c>
      <c r="G28" s="14" t="n">
        <v>45662</v>
      </c>
      <c r="H28" s="14" t="n">
        <v>45660</v>
      </c>
      <c r="I28" s="15" t="n">
        <v>154812</v>
      </c>
      <c r="J28" s="15" t="n">
        <v>0</v>
      </c>
      <c r="K28" s="27" t="n">
        <v>0</v>
      </c>
      <c r="L28" s="5" t="s">
        <v>1024</v>
      </c>
      <c r="M28" s="17" t="s">
        <v>1025</v>
      </c>
    </row>
    <row r="29" customFormat="false" ht="18" hidden="false" customHeight="true" outlineLevel="0" collapsed="false">
      <c r="A29" s="9" t="s">
        <v>1077</v>
      </c>
      <c r="B29" s="12" t="s">
        <v>564</v>
      </c>
      <c r="C29" s="10" t="s">
        <v>927</v>
      </c>
      <c r="D29" s="10" t="s">
        <v>1078</v>
      </c>
      <c r="E29" s="18" t="n">
        <v>45641</v>
      </c>
      <c r="F29" s="19" t="n">
        <v>9520000</v>
      </c>
      <c r="G29" s="18" t="n">
        <v>45671</v>
      </c>
      <c r="H29" s="18" t="n">
        <v>45669</v>
      </c>
      <c r="I29" s="19" t="n">
        <v>9520000</v>
      </c>
      <c r="J29" s="19" t="n">
        <v>0</v>
      </c>
      <c r="K29" s="28" t="n">
        <v>0</v>
      </c>
      <c r="L29" s="10" t="s">
        <v>1024</v>
      </c>
      <c r="M29" s="17" t="s">
        <v>1025</v>
      </c>
    </row>
    <row r="30" customFormat="false" ht="18" hidden="false" customHeight="true" outlineLevel="0" collapsed="false">
      <c r="A30" s="4" t="s">
        <v>1079</v>
      </c>
      <c r="B30" s="7" t="s">
        <v>572</v>
      </c>
      <c r="C30" s="5" t="s">
        <v>17</v>
      </c>
      <c r="D30" s="5" t="s">
        <v>1080</v>
      </c>
      <c r="E30" s="14" t="n">
        <v>45636</v>
      </c>
      <c r="F30" s="15" t="n">
        <v>1635424</v>
      </c>
      <c r="G30" s="14" t="n">
        <v>45666</v>
      </c>
      <c r="H30" s="14" t="n">
        <v>45664</v>
      </c>
      <c r="I30" s="15" t="n">
        <v>1635424</v>
      </c>
      <c r="J30" s="15" t="n">
        <v>0</v>
      </c>
      <c r="K30" s="27" t="n">
        <v>0</v>
      </c>
      <c r="L30" s="5" t="s">
        <v>1024</v>
      </c>
      <c r="M30" s="17" t="s">
        <v>1025</v>
      </c>
    </row>
    <row r="31" customFormat="false" ht="18" hidden="false" customHeight="true" outlineLevel="0" collapsed="false">
      <c r="A31" s="9" t="s">
        <v>1081</v>
      </c>
      <c r="B31" s="12" t="s">
        <v>574</v>
      </c>
      <c r="C31" s="10" t="s">
        <v>150</v>
      </c>
      <c r="D31" s="10" t="s">
        <v>1082</v>
      </c>
      <c r="E31" s="18" t="n">
        <v>45638</v>
      </c>
      <c r="F31" s="19" t="n">
        <v>1010800</v>
      </c>
      <c r="G31" s="18" t="n">
        <v>45668</v>
      </c>
      <c r="H31" s="18" t="n">
        <v>45666</v>
      </c>
      <c r="I31" s="19" t="n">
        <v>1010800</v>
      </c>
      <c r="J31" s="19" t="n">
        <v>0</v>
      </c>
      <c r="K31" s="28" t="n">
        <v>0</v>
      </c>
      <c r="L31" s="10" t="s">
        <v>1024</v>
      </c>
      <c r="M31" s="17" t="s">
        <v>1025</v>
      </c>
    </row>
    <row r="32" customFormat="false" ht="18" hidden="false" customHeight="true" outlineLevel="0" collapsed="false">
      <c r="A32" s="4" t="s">
        <v>1083</v>
      </c>
      <c r="B32" s="7" t="s">
        <v>582</v>
      </c>
      <c r="C32" s="5" t="s">
        <v>1084</v>
      </c>
      <c r="D32" s="5" t="s">
        <v>1085</v>
      </c>
      <c r="E32" s="14" t="n">
        <v>45652</v>
      </c>
      <c r="F32" s="15" t="n">
        <v>1828288</v>
      </c>
      <c r="G32" s="14" t="n">
        <v>45667</v>
      </c>
      <c r="H32" s="14" t="n">
        <v>45665</v>
      </c>
      <c r="I32" s="15" t="n">
        <v>1828288</v>
      </c>
      <c r="J32" s="15" t="n">
        <v>0</v>
      </c>
      <c r="K32" s="27" t="n">
        <v>0</v>
      </c>
      <c r="L32" s="5" t="s">
        <v>1024</v>
      </c>
      <c r="M32" s="17" t="s">
        <v>1025</v>
      </c>
    </row>
    <row r="33" customFormat="false" ht="18" hidden="false" customHeight="true" outlineLevel="0" collapsed="false">
      <c r="A33" s="9" t="s">
        <v>1086</v>
      </c>
      <c r="B33" s="12" t="s">
        <v>584</v>
      </c>
      <c r="C33" s="10" t="s">
        <v>17</v>
      </c>
      <c r="D33" s="10" t="s">
        <v>1087</v>
      </c>
      <c r="E33" s="18" t="n">
        <v>45670</v>
      </c>
      <c r="F33" s="19" t="n">
        <v>1491638.4</v>
      </c>
      <c r="G33" s="18" t="n">
        <v>45700</v>
      </c>
      <c r="H33" s="18" t="n">
        <v>45698</v>
      </c>
      <c r="I33" s="19" t="n">
        <v>1491638.4</v>
      </c>
      <c r="J33" s="19" t="n">
        <v>0</v>
      </c>
      <c r="K33" s="28" t="n">
        <v>0</v>
      </c>
      <c r="L33" s="10" t="s">
        <v>1024</v>
      </c>
      <c r="M33" s="17" t="s">
        <v>1025</v>
      </c>
    </row>
    <row r="34" customFormat="false" ht="18" hidden="false" customHeight="true" outlineLevel="0" collapsed="false">
      <c r="A34" s="4" t="s">
        <v>1088</v>
      </c>
      <c r="B34" s="7" t="s">
        <v>587</v>
      </c>
      <c r="C34" s="5" t="s">
        <v>845</v>
      </c>
      <c r="D34" s="5" t="s">
        <v>1089</v>
      </c>
      <c r="E34" s="14" t="n">
        <v>45679</v>
      </c>
      <c r="F34" s="15" t="n">
        <v>1448832</v>
      </c>
      <c r="G34" s="14" t="n">
        <v>45709</v>
      </c>
      <c r="H34" s="14" t="n">
        <v>45706</v>
      </c>
      <c r="I34" s="15" t="n">
        <v>1448832</v>
      </c>
      <c r="J34" s="15" t="n">
        <v>0</v>
      </c>
      <c r="K34" s="27" t="n">
        <v>0</v>
      </c>
      <c r="L34" s="5" t="s">
        <v>1028</v>
      </c>
      <c r="M34" s="17" t="s">
        <v>1025</v>
      </c>
    </row>
    <row r="35" customFormat="false" ht="18" hidden="false" customHeight="true" outlineLevel="0" collapsed="false">
      <c r="A35" s="9" t="s">
        <v>1090</v>
      </c>
      <c r="B35" s="12" t="s">
        <v>593</v>
      </c>
      <c r="C35" s="10" t="s">
        <v>858</v>
      </c>
      <c r="D35" s="10" t="s">
        <v>1091</v>
      </c>
      <c r="E35" s="18" t="n">
        <v>45686</v>
      </c>
      <c r="F35" s="19" t="n">
        <v>819280</v>
      </c>
      <c r="G35" s="18" t="n">
        <v>45731</v>
      </c>
      <c r="H35" s="18" t="n">
        <v>45728</v>
      </c>
      <c r="I35" s="19" t="n">
        <v>819280</v>
      </c>
      <c r="J35" s="19" t="n">
        <v>0</v>
      </c>
      <c r="K35" s="28" t="n">
        <v>0</v>
      </c>
      <c r="L35" s="10" t="s">
        <v>1024</v>
      </c>
      <c r="M35" s="17" t="s">
        <v>1025</v>
      </c>
    </row>
    <row r="36" customFormat="false" ht="18" hidden="false" customHeight="true" outlineLevel="0" collapsed="false">
      <c r="A36" s="4" t="s">
        <v>1092</v>
      </c>
      <c r="B36" s="7" t="s">
        <v>600</v>
      </c>
      <c r="C36" s="5" t="s">
        <v>896</v>
      </c>
      <c r="D36" s="5" t="s">
        <v>1093</v>
      </c>
      <c r="E36" s="14" t="n">
        <v>45699</v>
      </c>
      <c r="F36" s="15" t="n">
        <v>981254.4</v>
      </c>
      <c r="G36" s="14" t="n">
        <v>45729</v>
      </c>
      <c r="H36" s="14" t="n">
        <v>45726</v>
      </c>
      <c r="I36" s="15" t="n">
        <v>981254.4</v>
      </c>
      <c r="J36" s="15" t="n">
        <v>0</v>
      </c>
      <c r="K36" s="27" t="n">
        <v>0</v>
      </c>
      <c r="L36" s="5" t="s">
        <v>1024</v>
      </c>
      <c r="M36" s="17" t="s">
        <v>1025</v>
      </c>
    </row>
    <row r="37" customFormat="false" ht="18" hidden="false" customHeight="true" outlineLevel="0" collapsed="false">
      <c r="A37" s="9" t="s">
        <v>1094</v>
      </c>
      <c r="B37" s="12" t="s">
        <v>605</v>
      </c>
      <c r="C37" s="10" t="s">
        <v>98</v>
      </c>
      <c r="D37" s="10" t="s">
        <v>1095</v>
      </c>
      <c r="E37" s="18" t="n">
        <v>45712</v>
      </c>
      <c r="F37" s="19" t="n">
        <v>1580712</v>
      </c>
      <c r="G37" s="18" t="n">
        <v>45742</v>
      </c>
      <c r="H37" s="18" t="n">
        <v>45740</v>
      </c>
      <c r="I37" s="19" t="n">
        <v>1580712</v>
      </c>
      <c r="J37" s="19" t="n">
        <v>0</v>
      </c>
      <c r="K37" s="28" t="n">
        <v>0</v>
      </c>
      <c r="L37" s="10" t="s">
        <v>1024</v>
      </c>
      <c r="M37" s="17" t="s">
        <v>1025</v>
      </c>
    </row>
    <row r="38" customFormat="false" ht="18" hidden="false" customHeight="true" outlineLevel="0" collapsed="false">
      <c r="A38" s="4" t="s">
        <v>1096</v>
      </c>
      <c r="B38" s="7" t="s">
        <v>608</v>
      </c>
      <c r="C38" s="5" t="s">
        <v>1048</v>
      </c>
      <c r="D38" s="5" t="s">
        <v>1097</v>
      </c>
      <c r="E38" s="14" t="n">
        <v>45730</v>
      </c>
      <c r="F38" s="15" t="n">
        <v>14000000</v>
      </c>
      <c r="G38" s="14" t="n">
        <v>45775</v>
      </c>
      <c r="H38" s="14" t="n">
        <v>45772</v>
      </c>
      <c r="I38" s="15" t="n">
        <v>14000000</v>
      </c>
      <c r="J38" s="15" t="n">
        <v>0</v>
      </c>
      <c r="K38" s="27" t="n">
        <v>0</v>
      </c>
      <c r="L38" s="5" t="s">
        <v>1024</v>
      </c>
      <c r="M38" s="17" t="s">
        <v>1025</v>
      </c>
    </row>
    <row r="39" customFormat="false" ht="18" hidden="false" customHeight="true" outlineLevel="0" collapsed="false">
      <c r="A39" s="9" t="s">
        <v>1098</v>
      </c>
      <c r="B39" s="12" t="s">
        <v>616</v>
      </c>
      <c r="C39" s="10" t="s">
        <v>899</v>
      </c>
      <c r="D39" s="10" t="s">
        <v>1099</v>
      </c>
      <c r="E39" s="18" t="n">
        <v>45726</v>
      </c>
      <c r="F39" s="19" t="n">
        <v>1234240</v>
      </c>
      <c r="G39" s="18" t="n">
        <v>45756</v>
      </c>
      <c r="H39" s="18" t="n">
        <v>45754</v>
      </c>
      <c r="I39" s="19" t="n">
        <v>1234240</v>
      </c>
      <c r="J39" s="19" t="n">
        <v>0</v>
      </c>
      <c r="K39" s="28" t="n">
        <v>0</v>
      </c>
      <c r="L39" s="10" t="s">
        <v>1024</v>
      </c>
      <c r="M39" s="17" t="s">
        <v>1025</v>
      </c>
    </row>
    <row r="40" customFormat="false" ht="18" hidden="false" customHeight="true" outlineLevel="0" collapsed="false">
      <c r="A40" s="4" t="s">
        <v>1100</v>
      </c>
      <c r="B40" s="7" t="s">
        <v>625</v>
      </c>
      <c r="C40" s="5" t="s">
        <v>276</v>
      </c>
      <c r="D40" s="5" t="s">
        <v>1101</v>
      </c>
      <c r="E40" s="14" t="n">
        <v>45759</v>
      </c>
      <c r="F40" s="15" t="n">
        <v>31920000</v>
      </c>
      <c r="G40" s="14" t="n">
        <v>45789</v>
      </c>
      <c r="H40" s="14"/>
      <c r="I40" s="15" t="n">
        <v>15960000</v>
      </c>
      <c r="J40" s="15" t="n">
        <v>15960000</v>
      </c>
      <c r="K40" s="29" t="n">
        <v>346</v>
      </c>
      <c r="L40" s="5" t="s">
        <v>1024</v>
      </c>
      <c r="M40" s="23" t="s">
        <v>1102</v>
      </c>
    </row>
    <row r="41" customFormat="false" ht="18" hidden="false" customHeight="true" outlineLevel="0" collapsed="false">
      <c r="A41" s="9" t="s">
        <v>1103</v>
      </c>
      <c r="B41" s="12" t="s">
        <v>634</v>
      </c>
      <c r="C41" s="10" t="s">
        <v>17</v>
      </c>
      <c r="D41" s="10" t="s">
        <v>1104</v>
      </c>
      <c r="E41" s="18" t="n">
        <v>45755</v>
      </c>
      <c r="F41" s="19" t="n">
        <v>1728720</v>
      </c>
      <c r="G41" s="18" t="n">
        <v>45785</v>
      </c>
      <c r="H41" s="18" t="n">
        <v>45783</v>
      </c>
      <c r="I41" s="19" t="n">
        <v>1728720</v>
      </c>
      <c r="J41" s="19" t="n">
        <v>0</v>
      </c>
      <c r="K41" s="28" t="n">
        <v>0</v>
      </c>
      <c r="L41" s="10" t="s">
        <v>1024</v>
      </c>
      <c r="M41" s="17" t="s">
        <v>1025</v>
      </c>
    </row>
    <row r="42" customFormat="false" ht="18" hidden="false" customHeight="true" outlineLevel="0" collapsed="false">
      <c r="A42" s="4" t="s">
        <v>1105</v>
      </c>
      <c r="B42" s="7" t="s">
        <v>637</v>
      </c>
      <c r="C42" s="5" t="s">
        <v>845</v>
      </c>
      <c r="D42" s="5" t="s">
        <v>1106</v>
      </c>
      <c r="E42" s="14" t="n">
        <v>45764</v>
      </c>
      <c r="F42" s="15" t="n">
        <v>1942752</v>
      </c>
      <c r="G42" s="14" t="n">
        <v>45794</v>
      </c>
      <c r="H42" s="14" t="n">
        <v>45792</v>
      </c>
      <c r="I42" s="15" t="n">
        <v>1942752</v>
      </c>
      <c r="J42" s="15" t="n">
        <v>0</v>
      </c>
      <c r="K42" s="27" t="n">
        <v>0</v>
      </c>
      <c r="L42" s="5" t="s">
        <v>1028</v>
      </c>
      <c r="M42" s="17" t="s">
        <v>1025</v>
      </c>
    </row>
    <row r="43" customFormat="false" ht="18" hidden="false" customHeight="true" outlineLevel="0" collapsed="false">
      <c r="A43" s="9" t="s">
        <v>1107</v>
      </c>
      <c r="B43" s="12" t="s">
        <v>650</v>
      </c>
      <c r="C43" s="10" t="s">
        <v>961</v>
      </c>
      <c r="D43" s="10" t="s">
        <v>1108</v>
      </c>
      <c r="E43" s="18" t="n">
        <v>45803</v>
      </c>
      <c r="F43" s="19" t="n">
        <v>4096400</v>
      </c>
      <c r="G43" s="18" t="n">
        <v>45848</v>
      </c>
      <c r="H43" s="18" t="n">
        <v>45846</v>
      </c>
      <c r="I43" s="19" t="n">
        <v>4096400</v>
      </c>
      <c r="J43" s="19" t="n">
        <v>0</v>
      </c>
      <c r="K43" s="28" t="n">
        <v>0</v>
      </c>
      <c r="L43" s="10" t="s">
        <v>1024</v>
      </c>
      <c r="M43" s="17" t="s">
        <v>1025</v>
      </c>
    </row>
    <row r="44" customFormat="false" ht="18" hidden="false" customHeight="true" outlineLevel="0" collapsed="false">
      <c r="A44" s="4" t="s">
        <v>1109</v>
      </c>
      <c r="B44" s="7" t="s">
        <v>672</v>
      </c>
      <c r="C44" s="5" t="s">
        <v>150</v>
      </c>
      <c r="D44" s="5" t="s">
        <v>1110</v>
      </c>
      <c r="E44" s="14" t="n">
        <v>45824</v>
      </c>
      <c r="F44" s="15" t="n">
        <v>1463000</v>
      </c>
      <c r="G44" s="14" t="n">
        <v>45854</v>
      </c>
      <c r="H44" s="14" t="n">
        <v>45852</v>
      </c>
      <c r="I44" s="15" t="n">
        <v>1463000</v>
      </c>
      <c r="J44" s="15" t="n">
        <v>0</v>
      </c>
      <c r="K44" s="27" t="n">
        <v>0</v>
      </c>
      <c r="L44" s="5" t="s">
        <v>1024</v>
      </c>
      <c r="M44" s="17" t="s">
        <v>1025</v>
      </c>
    </row>
    <row r="45" customFormat="false" ht="18" hidden="false" customHeight="true" outlineLevel="0" collapsed="false">
      <c r="A45" s="9" t="s">
        <v>1111</v>
      </c>
      <c r="B45" s="12" t="s">
        <v>675</v>
      </c>
      <c r="C45" s="10" t="s">
        <v>1112</v>
      </c>
      <c r="D45" s="10" t="s">
        <v>1113</v>
      </c>
      <c r="E45" s="18" t="n">
        <v>45850</v>
      </c>
      <c r="F45" s="19" t="n">
        <v>25200000</v>
      </c>
      <c r="G45" s="18" t="n">
        <v>45910</v>
      </c>
      <c r="H45" s="18"/>
      <c r="I45" s="19" t="n">
        <v>12600000</v>
      </c>
      <c r="J45" s="19" t="n">
        <v>12600000</v>
      </c>
      <c r="K45" s="30" t="n">
        <v>225</v>
      </c>
      <c r="L45" s="10" t="s">
        <v>1024</v>
      </c>
      <c r="M45" s="23" t="s">
        <v>1102</v>
      </c>
    </row>
    <row r="46" customFormat="false" ht="18" hidden="false" customHeight="true" outlineLevel="0" collapsed="false">
      <c r="A46" s="4" t="s">
        <v>1114</v>
      </c>
      <c r="B46" s="7" t="s">
        <v>680</v>
      </c>
      <c r="C46" s="5" t="s">
        <v>17</v>
      </c>
      <c r="D46" s="5" t="s">
        <v>1115</v>
      </c>
      <c r="E46" s="14" t="n">
        <v>45846</v>
      </c>
      <c r="F46" s="15" t="n">
        <v>2028364.8</v>
      </c>
      <c r="G46" s="14" t="n">
        <v>45876</v>
      </c>
      <c r="H46" s="14" t="n">
        <v>45874</v>
      </c>
      <c r="I46" s="15" t="n">
        <v>2028364.8</v>
      </c>
      <c r="J46" s="15" t="n">
        <v>0</v>
      </c>
      <c r="K46" s="27" t="n">
        <v>0</v>
      </c>
      <c r="L46" s="5" t="s">
        <v>1024</v>
      </c>
      <c r="M46" s="17" t="s">
        <v>1025</v>
      </c>
    </row>
    <row r="47" customFormat="false" ht="18" hidden="false" customHeight="true" outlineLevel="0" collapsed="false">
      <c r="A47" s="9" t="s">
        <v>1116</v>
      </c>
      <c r="B47" s="12" t="s">
        <v>685</v>
      </c>
      <c r="C47" s="10" t="s">
        <v>927</v>
      </c>
      <c r="D47" s="10" t="s">
        <v>1117</v>
      </c>
      <c r="E47" s="18" t="n">
        <v>45876</v>
      </c>
      <c r="F47" s="19" t="n">
        <v>17696000</v>
      </c>
      <c r="G47" s="18" t="n">
        <v>45906</v>
      </c>
      <c r="H47" s="18"/>
      <c r="I47" s="19" t="n">
        <v>8848000</v>
      </c>
      <c r="J47" s="19" t="n">
        <v>8848000</v>
      </c>
      <c r="K47" s="30" t="n">
        <v>229</v>
      </c>
      <c r="L47" s="10" t="s">
        <v>1024</v>
      </c>
      <c r="M47" s="23" t="s">
        <v>1102</v>
      </c>
    </row>
    <row r="48" customFormat="false" ht="18" hidden="false" customHeight="true" outlineLevel="0" collapsed="false">
      <c r="A48" s="4" t="s">
        <v>1118</v>
      </c>
      <c r="B48" s="7" t="s">
        <v>693</v>
      </c>
      <c r="C48" s="5" t="s">
        <v>858</v>
      </c>
      <c r="D48" s="5" t="s">
        <v>1119</v>
      </c>
      <c r="E48" s="14" t="n">
        <v>45887</v>
      </c>
      <c r="F48" s="15" t="n">
        <v>3617600</v>
      </c>
      <c r="G48" s="14" t="n">
        <v>45932</v>
      </c>
      <c r="H48" s="14" t="n">
        <v>45930</v>
      </c>
      <c r="I48" s="15" t="n">
        <v>3617600</v>
      </c>
      <c r="J48" s="15" t="n">
        <v>0</v>
      </c>
      <c r="K48" s="27" t="n">
        <v>0</v>
      </c>
      <c r="L48" s="5" t="s">
        <v>1024</v>
      </c>
      <c r="M48" s="17" t="s">
        <v>1025</v>
      </c>
    </row>
    <row r="49" customFormat="false" ht="18" hidden="false" customHeight="true" outlineLevel="0" collapsed="false">
      <c r="A49" s="9" t="s">
        <v>1120</v>
      </c>
      <c r="B49" s="12" t="s">
        <v>696</v>
      </c>
      <c r="C49" s="10" t="s">
        <v>896</v>
      </c>
      <c r="D49" s="10" t="s">
        <v>1121</v>
      </c>
      <c r="E49" s="18" t="n">
        <v>45882</v>
      </c>
      <c r="F49" s="19" t="n">
        <v>4928000</v>
      </c>
      <c r="G49" s="18" t="n">
        <v>45912</v>
      </c>
      <c r="H49" s="18" t="n">
        <v>45910</v>
      </c>
      <c r="I49" s="19" t="n">
        <v>4928000</v>
      </c>
      <c r="J49" s="19" t="n">
        <v>0</v>
      </c>
      <c r="K49" s="28" t="n">
        <v>0</v>
      </c>
      <c r="L49" s="10" t="s">
        <v>1024</v>
      </c>
      <c r="M49" s="17" t="s">
        <v>1025</v>
      </c>
    </row>
    <row r="50" customFormat="false" ht="18" hidden="false" customHeight="true" outlineLevel="0" collapsed="false">
      <c r="A50" s="4" t="s">
        <v>1122</v>
      </c>
      <c r="B50" s="7" t="s">
        <v>726</v>
      </c>
      <c r="C50" s="5" t="s">
        <v>17</v>
      </c>
      <c r="D50" s="5" t="s">
        <v>1123</v>
      </c>
      <c r="E50" s="14" t="n">
        <v>45945</v>
      </c>
      <c r="F50" s="15" t="n">
        <v>2397158.4</v>
      </c>
      <c r="G50" s="14" t="n">
        <v>45975</v>
      </c>
      <c r="H50" s="14" t="n">
        <v>45973</v>
      </c>
      <c r="I50" s="15" t="n">
        <v>2397158.4</v>
      </c>
      <c r="J50" s="15" t="n">
        <v>0</v>
      </c>
      <c r="K50" s="27" t="n">
        <v>0</v>
      </c>
      <c r="L50" s="5" t="s">
        <v>1024</v>
      </c>
      <c r="M50" s="17" t="s">
        <v>1025</v>
      </c>
    </row>
    <row r="51" customFormat="false" ht="18" hidden="false" customHeight="true" outlineLevel="0" collapsed="false">
      <c r="A51" s="9" t="s">
        <v>1124</v>
      </c>
      <c r="B51" s="12" t="s">
        <v>728</v>
      </c>
      <c r="C51" s="10" t="s">
        <v>845</v>
      </c>
      <c r="D51" s="10" t="s">
        <v>1125</v>
      </c>
      <c r="E51" s="18" t="n">
        <v>45954</v>
      </c>
      <c r="F51" s="19" t="n">
        <v>2370816</v>
      </c>
      <c r="G51" s="18" t="n">
        <v>45984</v>
      </c>
      <c r="H51" s="18" t="n">
        <v>45981</v>
      </c>
      <c r="I51" s="19" t="n">
        <v>2370816</v>
      </c>
      <c r="J51" s="19" t="n">
        <v>0</v>
      </c>
      <c r="K51" s="28" t="n">
        <v>0</v>
      </c>
      <c r="L51" s="10" t="s">
        <v>1028</v>
      </c>
      <c r="M51" s="17" t="s">
        <v>1025</v>
      </c>
    </row>
    <row r="52" customFormat="false" ht="18" hidden="false" customHeight="true" outlineLevel="0" collapsed="false">
      <c r="A52" s="4" t="s">
        <v>1126</v>
      </c>
      <c r="B52" s="7" t="s">
        <v>744</v>
      </c>
      <c r="C52" s="5" t="s">
        <v>276</v>
      </c>
      <c r="D52" s="5" t="s">
        <v>1127</v>
      </c>
      <c r="E52" s="14" t="n">
        <v>45999</v>
      </c>
      <c r="F52" s="15" t="n">
        <v>20720000</v>
      </c>
      <c r="G52" s="14" t="n">
        <v>46029</v>
      </c>
      <c r="H52" s="14"/>
      <c r="I52" s="15" t="n">
        <v>0</v>
      </c>
      <c r="J52" s="15" t="n">
        <v>20720000</v>
      </c>
      <c r="K52" s="29" t="n">
        <v>106</v>
      </c>
      <c r="L52" s="5" t="s">
        <v>1024</v>
      </c>
      <c r="M52" s="31" t="s">
        <v>1128</v>
      </c>
    </row>
    <row r="53" customFormat="false" ht="18" hidden="false" customHeight="true" outlineLevel="0" collapsed="false">
      <c r="A53" s="9" t="s">
        <v>1129</v>
      </c>
      <c r="B53" s="12" t="s">
        <v>758</v>
      </c>
      <c r="C53" s="10" t="s">
        <v>858</v>
      </c>
      <c r="D53" s="10" t="s">
        <v>1130</v>
      </c>
      <c r="E53" s="18" t="n">
        <v>46008</v>
      </c>
      <c r="F53" s="19" t="n">
        <v>3936800</v>
      </c>
      <c r="G53" s="18" t="n">
        <v>46054</v>
      </c>
      <c r="H53" s="18" t="n">
        <v>46050</v>
      </c>
      <c r="I53" s="19" t="n">
        <v>3936800</v>
      </c>
      <c r="J53" s="19" t="n">
        <v>0</v>
      </c>
      <c r="K53" s="28" t="n">
        <v>0</v>
      </c>
      <c r="L53" s="10" t="s">
        <v>1024</v>
      </c>
      <c r="M53" s="17" t="s">
        <v>1025</v>
      </c>
    </row>
    <row r="54" customFormat="false" ht="18" hidden="false" customHeight="true" outlineLevel="0" collapsed="false">
      <c r="A54" s="4" t="s">
        <v>1131</v>
      </c>
      <c r="B54" s="7" t="s">
        <v>761</v>
      </c>
      <c r="C54" s="5" t="s">
        <v>17</v>
      </c>
      <c r="D54" s="5" t="s">
        <v>1132</v>
      </c>
      <c r="E54" s="14" t="n">
        <v>46003</v>
      </c>
      <c r="F54" s="15" t="n">
        <v>2792294.4</v>
      </c>
      <c r="G54" s="14" t="n">
        <v>46033</v>
      </c>
      <c r="H54" s="14" t="n">
        <v>46031</v>
      </c>
      <c r="I54" s="15" t="n">
        <v>2792294.4</v>
      </c>
      <c r="J54" s="15" t="n">
        <v>0</v>
      </c>
      <c r="K54" s="27" t="n">
        <v>0</v>
      </c>
      <c r="L54" s="5" t="s">
        <v>1024</v>
      </c>
      <c r="M54" s="17" t="s">
        <v>1025</v>
      </c>
    </row>
    <row r="55" customFormat="false" ht="18" hidden="false" customHeight="true" outlineLevel="0" collapsed="false">
      <c r="A55" s="9" t="s">
        <v>1133</v>
      </c>
      <c r="B55" s="12" t="s">
        <v>766</v>
      </c>
      <c r="C55" s="10" t="s">
        <v>17</v>
      </c>
      <c r="D55" s="10" t="s">
        <v>1134</v>
      </c>
      <c r="E55" s="18" t="n">
        <v>46034</v>
      </c>
      <c r="F55" s="19" t="n">
        <v>2827417.6</v>
      </c>
      <c r="G55" s="18" t="n">
        <v>46064</v>
      </c>
      <c r="H55" s="18" t="n">
        <v>46062</v>
      </c>
      <c r="I55" s="19" t="n">
        <v>2827417.6</v>
      </c>
      <c r="J55" s="19" t="n">
        <v>0</v>
      </c>
      <c r="K55" s="28" t="n">
        <v>0</v>
      </c>
      <c r="L55" s="10" t="s">
        <v>1024</v>
      </c>
      <c r="M55" s="17" t="s">
        <v>1025</v>
      </c>
    </row>
    <row r="56" customFormat="false" ht="18" hidden="false" customHeight="true" outlineLevel="0" collapsed="false">
      <c r="A56" s="4" t="s">
        <v>1135</v>
      </c>
      <c r="B56" s="7" t="s">
        <v>769</v>
      </c>
      <c r="C56" s="5" t="s">
        <v>845</v>
      </c>
      <c r="D56" s="5" t="s">
        <v>1136</v>
      </c>
      <c r="E56" s="14" t="n">
        <v>46043</v>
      </c>
      <c r="F56" s="15" t="n">
        <v>3018400</v>
      </c>
      <c r="G56" s="14" t="n">
        <v>46073</v>
      </c>
      <c r="H56" s="14"/>
      <c r="I56" s="15" t="n">
        <v>0</v>
      </c>
      <c r="J56" s="15" t="n">
        <v>3018400</v>
      </c>
      <c r="K56" s="29" t="n">
        <v>62</v>
      </c>
      <c r="L56" s="5" t="s">
        <v>1028</v>
      </c>
      <c r="M56" s="31" t="s">
        <v>1128</v>
      </c>
    </row>
    <row r="57" customFormat="false" ht="18" hidden="false" customHeight="true" outlineLevel="0" collapsed="false">
      <c r="A57" s="9" t="s">
        <v>1137</v>
      </c>
      <c r="B57" s="12" t="s">
        <v>772</v>
      </c>
      <c r="C57" s="10" t="s">
        <v>858</v>
      </c>
      <c r="D57" s="10" t="s">
        <v>1138</v>
      </c>
      <c r="E57" s="18" t="n">
        <v>46046</v>
      </c>
      <c r="F57" s="19" t="n">
        <v>1574720</v>
      </c>
      <c r="G57" s="18" t="n">
        <v>46091</v>
      </c>
      <c r="H57" s="18"/>
      <c r="I57" s="19" t="n">
        <v>0</v>
      </c>
      <c r="J57" s="19" t="n">
        <v>1574720</v>
      </c>
      <c r="K57" s="30" t="n">
        <v>44</v>
      </c>
      <c r="L57" s="10" t="s">
        <v>1024</v>
      </c>
      <c r="M57" s="21" t="s">
        <v>1139</v>
      </c>
    </row>
    <row r="58" customFormat="false" ht="18" hidden="false" customHeight="true" outlineLevel="0" collapsed="false">
      <c r="A58" s="4" t="s">
        <v>1140</v>
      </c>
      <c r="B58" s="7" t="s">
        <v>775</v>
      </c>
      <c r="C58" s="5" t="s">
        <v>899</v>
      </c>
      <c r="D58" s="5" t="s">
        <v>1141</v>
      </c>
      <c r="E58" s="14" t="n">
        <v>46042</v>
      </c>
      <c r="F58" s="15" t="n">
        <v>1010800</v>
      </c>
      <c r="G58" s="14" t="n">
        <v>46072</v>
      </c>
      <c r="H58" s="14" t="n">
        <v>46070</v>
      </c>
      <c r="I58" s="15" t="n">
        <v>1010800</v>
      </c>
      <c r="J58" s="15" t="n">
        <v>0</v>
      </c>
      <c r="K58" s="27" t="n">
        <v>0</v>
      </c>
      <c r="L58" s="5" t="s">
        <v>1024</v>
      </c>
      <c r="M58" s="17" t="s">
        <v>1025</v>
      </c>
    </row>
    <row r="59" customFormat="false" ht="18" hidden="false" customHeight="true" outlineLevel="0" collapsed="false">
      <c r="A59" s="9" t="s">
        <v>1142</v>
      </c>
      <c r="B59" s="12" t="s">
        <v>778</v>
      </c>
      <c r="C59" s="10" t="s">
        <v>112</v>
      </c>
      <c r="D59" s="10" t="s">
        <v>1143</v>
      </c>
      <c r="E59" s="18" t="n">
        <v>46044</v>
      </c>
      <c r="F59" s="19" t="n">
        <v>814800</v>
      </c>
      <c r="G59" s="18" t="n">
        <v>46074</v>
      </c>
      <c r="H59" s="18"/>
      <c r="I59" s="19" t="n">
        <v>0</v>
      </c>
      <c r="J59" s="19" t="n">
        <v>814800</v>
      </c>
      <c r="K59" s="30" t="n">
        <v>61</v>
      </c>
      <c r="L59" s="10" t="s">
        <v>1024</v>
      </c>
      <c r="M59" s="21" t="s">
        <v>1139</v>
      </c>
    </row>
    <row r="60" customFormat="false" ht="18" hidden="false" customHeight="true" outlineLevel="0" collapsed="false">
      <c r="A60" s="4" t="s">
        <v>1144</v>
      </c>
      <c r="B60" s="7" t="s">
        <v>781</v>
      </c>
      <c r="C60" s="5" t="s">
        <v>127</v>
      </c>
      <c r="D60" s="5" t="s">
        <v>1145</v>
      </c>
      <c r="E60" s="14" t="n">
        <v>46052</v>
      </c>
      <c r="F60" s="15" t="n">
        <v>3637760</v>
      </c>
      <c r="G60" s="14" t="n">
        <v>46067</v>
      </c>
      <c r="H60" s="14"/>
      <c r="I60" s="15" t="n">
        <v>0</v>
      </c>
      <c r="J60" s="15" t="n">
        <v>3637760</v>
      </c>
      <c r="K60" s="29" t="n">
        <v>68</v>
      </c>
      <c r="L60" s="5" t="s">
        <v>1024</v>
      </c>
      <c r="M60" s="31" t="s">
        <v>1128</v>
      </c>
    </row>
    <row r="61" customFormat="false" ht="18" hidden="false" customHeight="true" outlineLevel="0" collapsed="false">
      <c r="A61" s="9" t="s">
        <v>1146</v>
      </c>
      <c r="B61" s="12" t="s">
        <v>783</v>
      </c>
      <c r="C61" s="10" t="s">
        <v>1147</v>
      </c>
      <c r="D61" s="10" t="s">
        <v>1148</v>
      </c>
      <c r="E61" s="18" t="n">
        <v>46063</v>
      </c>
      <c r="F61" s="19" t="n">
        <v>638400</v>
      </c>
      <c r="G61" s="18" t="n">
        <v>46093</v>
      </c>
      <c r="H61" s="18"/>
      <c r="I61" s="19" t="n">
        <v>0</v>
      </c>
      <c r="J61" s="19" t="n">
        <v>638400</v>
      </c>
      <c r="K61" s="30" t="n">
        <v>42</v>
      </c>
      <c r="L61" s="10" t="s">
        <v>1024</v>
      </c>
      <c r="M61" s="21" t="s">
        <v>1139</v>
      </c>
    </row>
    <row r="62" customFormat="false" ht="18" hidden="false" customHeight="true" outlineLevel="0" collapsed="false">
      <c r="A62" s="4" t="s">
        <v>1149</v>
      </c>
      <c r="B62" s="7" t="s">
        <v>789</v>
      </c>
      <c r="C62" s="5" t="s">
        <v>276</v>
      </c>
      <c r="D62" s="5" t="s">
        <v>1150</v>
      </c>
      <c r="E62" s="14" t="n">
        <v>46082</v>
      </c>
      <c r="F62" s="15" t="n">
        <v>39200000</v>
      </c>
      <c r="G62" s="14" t="n">
        <v>46112</v>
      </c>
      <c r="H62" s="14"/>
      <c r="I62" s="15" t="n">
        <v>0</v>
      </c>
      <c r="J62" s="15" t="n">
        <v>39200000</v>
      </c>
      <c r="K62" s="29" t="n">
        <v>23</v>
      </c>
      <c r="L62" s="5" t="s">
        <v>1024</v>
      </c>
      <c r="M62" s="21" t="s">
        <v>1139</v>
      </c>
    </row>
    <row r="63" customFormat="false" ht="18" hidden="false" customHeight="true" outlineLevel="0" collapsed="false">
      <c r="A63" s="9" t="s">
        <v>1151</v>
      </c>
      <c r="B63" s="12" t="s">
        <v>800</v>
      </c>
      <c r="C63" s="10" t="s">
        <v>961</v>
      </c>
      <c r="D63" s="10" t="s">
        <v>1152</v>
      </c>
      <c r="E63" s="18" t="n">
        <v>46101</v>
      </c>
      <c r="F63" s="19" t="n">
        <v>2713200</v>
      </c>
      <c r="G63" s="18" t="n">
        <v>46146</v>
      </c>
      <c r="H63" s="18"/>
      <c r="I63" s="19" t="n">
        <v>0</v>
      </c>
      <c r="J63" s="19" t="n">
        <v>2713200</v>
      </c>
      <c r="K63" s="28" t="n">
        <v>0</v>
      </c>
      <c r="L63" s="10" t="s">
        <v>1024</v>
      </c>
      <c r="M63" s="21" t="s">
        <v>1139</v>
      </c>
    </row>
    <row r="64" customFormat="false" ht="18" hidden="false" customHeight="true" outlineLevel="0" collapsed="false">
      <c r="A64" s="4" t="s">
        <v>1153</v>
      </c>
      <c r="B64" s="7" t="s">
        <v>803</v>
      </c>
      <c r="C64" s="5" t="s">
        <v>927</v>
      </c>
      <c r="D64" s="5" t="s">
        <v>1154</v>
      </c>
      <c r="E64" s="14" t="n">
        <v>46113</v>
      </c>
      <c r="F64" s="15" t="n">
        <v>14000000</v>
      </c>
      <c r="G64" s="14" t="n">
        <v>46143</v>
      </c>
      <c r="H64" s="14"/>
      <c r="I64" s="15" t="n">
        <v>0</v>
      </c>
      <c r="J64" s="15" t="n">
        <v>14000000</v>
      </c>
      <c r="K64" s="27" t="n">
        <v>0</v>
      </c>
      <c r="L64" s="5" t="s">
        <v>1024</v>
      </c>
      <c r="M64" s="21" t="s">
        <v>1139</v>
      </c>
    </row>
    <row r="65" customFormat="false" ht="18" hidden="false" customHeight="true" outlineLevel="0" collapsed="false">
      <c r="A65" s="9" t="s">
        <v>1155</v>
      </c>
      <c r="B65" s="12" t="s">
        <v>818</v>
      </c>
      <c r="C65" s="10" t="s">
        <v>98</v>
      </c>
      <c r="D65" s="10" t="s">
        <v>1156</v>
      </c>
      <c r="E65" s="18" t="n">
        <v>46127</v>
      </c>
      <c r="F65" s="19" t="n">
        <v>6192480</v>
      </c>
      <c r="G65" s="18" t="n">
        <v>46157</v>
      </c>
      <c r="H65" s="18"/>
      <c r="I65" s="19" t="n">
        <v>0</v>
      </c>
      <c r="J65" s="19" t="n">
        <v>6192480</v>
      </c>
      <c r="K65" s="28" t="n">
        <v>0</v>
      </c>
      <c r="L65" s="10" t="s">
        <v>1024</v>
      </c>
      <c r="M65" s="21" t="s">
        <v>1139</v>
      </c>
    </row>
  </sheetData>
  <autoFilter ref="A3:M65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6534"/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16"/>
  </cols>
  <sheetData>
    <row r="1" customFormat="false" ht="45.75" hidden="false" customHeight="true" outlineLevel="0" collapsed="false">
      <c r="A1" s="1" t="s">
        <v>1157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325</v>
      </c>
      <c r="C3" s="3" t="s">
        <v>4</v>
      </c>
      <c r="D3" s="3" t="s">
        <v>1159</v>
      </c>
      <c r="E3" s="3" t="s">
        <v>1160</v>
      </c>
      <c r="F3" s="3" t="s">
        <v>1161</v>
      </c>
      <c r="G3" s="3" t="s">
        <v>1162</v>
      </c>
      <c r="H3" s="3" t="s">
        <v>1163</v>
      </c>
      <c r="I3" s="3" t="s">
        <v>1164</v>
      </c>
      <c r="J3" s="3" t="s">
        <v>1165</v>
      </c>
      <c r="K3" s="3" t="s">
        <v>1166</v>
      </c>
      <c r="L3" s="3" t="s">
        <v>1167</v>
      </c>
    </row>
    <row r="4" customFormat="false" ht="18" hidden="false" customHeight="true" outlineLevel="0" collapsed="false">
      <c r="A4" s="4" t="s">
        <v>16</v>
      </c>
      <c r="B4" s="5" t="s">
        <v>17</v>
      </c>
      <c r="C4" s="5" t="s">
        <v>18</v>
      </c>
      <c r="D4" s="32" t="n">
        <v>0.98</v>
      </c>
      <c r="E4" s="32" t="n">
        <v>0.99</v>
      </c>
      <c r="F4" s="32" t="n">
        <v>1</v>
      </c>
      <c r="G4" s="7" t="n">
        <v>9</v>
      </c>
      <c r="H4" s="7" t="n">
        <v>9</v>
      </c>
      <c r="I4" s="4" t="n">
        <f aca="false">ROUND((D4*0.25+E4*0.25+F4*0.15+G4*10*0.175+H4*10*0.175),1)</f>
        <v>32.1</v>
      </c>
      <c r="J4" s="17" t="s">
        <v>1168</v>
      </c>
      <c r="K4" s="5" t="s">
        <v>1169</v>
      </c>
      <c r="L4" s="7" t="s">
        <v>1170</v>
      </c>
    </row>
    <row r="5" customFormat="false" ht="18" hidden="false" customHeight="true" outlineLevel="0" collapsed="false">
      <c r="A5" s="9" t="s">
        <v>28</v>
      </c>
      <c r="B5" s="10" t="s">
        <v>1171</v>
      </c>
      <c r="C5" s="10" t="s">
        <v>18</v>
      </c>
      <c r="D5" s="33" t="n">
        <v>0.91</v>
      </c>
      <c r="E5" s="33" t="n">
        <v>0.95</v>
      </c>
      <c r="F5" s="33" t="n">
        <v>0.98</v>
      </c>
      <c r="G5" s="12" t="n">
        <v>8</v>
      </c>
      <c r="H5" s="12" t="n">
        <v>8</v>
      </c>
      <c r="I5" s="9" t="n">
        <f aca="false">ROUND((D5*0.25+E5*0.25+F5*0.15+G5*10*0.175+H5*10*0.175),1)</f>
        <v>28.6</v>
      </c>
      <c r="J5" s="21" t="s">
        <v>1172</v>
      </c>
      <c r="K5" s="10" t="s">
        <v>1173</v>
      </c>
      <c r="L5" s="12" t="s">
        <v>1174</v>
      </c>
    </row>
    <row r="6" customFormat="false" ht="18" hidden="false" customHeight="true" outlineLevel="0" collapsed="false">
      <c r="A6" s="4" t="s">
        <v>37</v>
      </c>
      <c r="B6" s="5" t="s">
        <v>1175</v>
      </c>
      <c r="C6" s="5" t="s">
        <v>18</v>
      </c>
      <c r="D6" s="32" t="n">
        <v>0.96</v>
      </c>
      <c r="E6" s="32" t="n">
        <v>0.97</v>
      </c>
      <c r="F6" s="32" t="n">
        <v>0.99</v>
      </c>
      <c r="G6" s="7" t="n">
        <v>9</v>
      </c>
      <c r="H6" s="7" t="n">
        <v>9</v>
      </c>
      <c r="I6" s="4" t="n">
        <f aca="false">ROUND((D6*0.25+E6*0.25+F6*0.15+G6*10*0.175+H6*10*0.175),1)</f>
        <v>32.1</v>
      </c>
      <c r="J6" s="22" t="s">
        <v>1176</v>
      </c>
      <c r="K6" s="5" t="s">
        <v>1177</v>
      </c>
      <c r="L6" s="7" t="s">
        <v>1174</v>
      </c>
    </row>
    <row r="7" customFormat="false" ht="18" hidden="false" customHeight="true" outlineLevel="0" collapsed="false">
      <c r="A7" s="9" t="s">
        <v>44</v>
      </c>
      <c r="B7" s="10" t="s">
        <v>45</v>
      </c>
      <c r="C7" s="10" t="s">
        <v>46</v>
      </c>
      <c r="D7" s="33" t="n">
        <v>0.94</v>
      </c>
      <c r="E7" s="33" t="n">
        <v>0.98</v>
      </c>
      <c r="F7" s="33" t="n">
        <v>0.97</v>
      </c>
      <c r="G7" s="12" t="n">
        <v>9</v>
      </c>
      <c r="H7" s="12" t="n">
        <v>9</v>
      </c>
      <c r="I7" s="9" t="n">
        <f aca="false">ROUND((D7*0.25+E7*0.25+F7*0.15+G7*10*0.175+H7*10*0.175),1)</f>
        <v>32.1</v>
      </c>
      <c r="J7" s="22" t="s">
        <v>1176</v>
      </c>
      <c r="K7" s="10" t="s">
        <v>1177</v>
      </c>
      <c r="L7" s="12" t="s">
        <v>1174</v>
      </c>
    </row>
    <row r="8" customFormat="false" ht="18" hidden="false" customHeight="true" outlineLevel="0" collapsed="false">
      <c r="A8" s="4" t="s">
        <v>52</v>
      </c>
      <c r="B8" s="5" t="s">
        <v>53</v>
      </c>
      <c r="C8" s="5" t="s">
        <v>46</v>
      </c>
      <c r="D8" s="32" t="n">
        <v>0.89</v>
      </c>
      <c r="E8" s="32" t="n">
        <v>0.94</v>
      </c>
      <c r="F8" s="32" t="n">
        <v>0.96</v>
      </c>
      <c r="G8" s="7" t="n">
        <v>8</v>
      </c>
      <c r="H8" s="7" t="n">
        <v>7</v>
      </c>
      <c r="I8" s="4" t="n">
        <f aca="false">ROUND((D8*0.25+E8*0.25+F8*0.15+G8*10*0.175+H8*10*0.175),1)</f>
        <v>26.9</v>
      </c>
      <c r="J8" s="21" t="s">
        <v>1172</v>
      </c>
      <c r="K8" s="5" t="s">
        <v>1173</v>
      </c>
      <c r="L8" s="7" t="s">
        <v>1174</v>
      </c>
    </row>
    <row r="9" customFormat="false" ht="18" hidden="false" customHeight="true" outlineLevel="0" collapsed="false">
      <c r="A9" s="9" t="s">
        <v>59</v>
      </c>
      <c r="B9" s="10" t="s">
        <v>60</v>
      </c>
      <c r="C9" s="10" t="s">
        <v>46</v>
      </c>
      <c r="D9" s="33" t="n">
        <v>0.82</v>
      </c>
      <c r="E9" s="33" t="n">
        <v>0.88</v>
      </c>
      <c r="F9" s="33" t="n">
        <v>0.9</v>
      </c>
      <c r="G9" s="12" t="n">
        <v>6</v>
      </c>
      <c r="H9" s="12" t="n">
        <v>7</v>
      </c>
      <c r="I9" s="9" t="n">
        <f aca="false">ROUND((D9*0.25+E9*0.25+F9*0.15+G9*10*0.175+H9*10*0.175),1)</f>
        <v>23.3</v>
      </c>
      <c r="J9" s="23" t="s">
        <v>1178</v>
      </c>
      <c r="K9" s="10" t="s">
        <v>1179</v>
      </c>
      <c r="L9" s="12" t="s">
        <v>1180</v>
      </c>
    </row>
    <row r="10" customFormat="false" ht="18" hidden="false" customHeight="true" outlineLevel="0" collapsed="false">
      <c r="A10" s="4" t="s">
        <v>67</v>
      </c>
      <c r="B10" s="5" t="s">
        <v>68</v>
      </c>
      <c r="C10" s="5" t="s">
        <v>69</v>
      </c>
      <c r="D10" s="32" t="n">
        <v>0.95</v>
      </c>
      <c r="E10" s="32" t="n">
        <v>0.96</v>
      </c>
      <c r="F10" s="32" t="n">
        <v>0.99</v>
      </c>
      <c r="G10" s="7" t="n">
        <v>9</v>
      </c>
      <c r="H10" s="7" t="n">
        <v>8</v>
      </c>
      <c r="I10" s="4" t="n">
        <f aca="false">ROUND((D10*0.25+E10*0.25+F10*0.15+G10*10*0.175+H10*10*0.175),1)</f>
        <v>30.4</v>
      </c>
      <c r="J10" s="22" t="s">
        <v>1176</v>
      </c>
      <c r="K10" s="5" t="s">
        <v>1177</v>
      </c>
      <c r="L10" s="7" t="s">
        <v>1174</v>
      </c>
    </row>
    <row r="11" customFormat="false" ht="18" hidden="false" customHeight="true" outlineLevel="0" collapsed="false">
      <c r="A11" s="9" t="s">
        <v>75</v>
      </c>
      <c r="B11" s="10" t="s">
        <v>76</v>
      </c>
      <c r="C11" s="10" t="s">
        <v>69</v>
      </c>
      <c r="D11" s="33" t="n">
        <v>0.97</v>
      </c>
      <c r="E11" s="33" t="n">
        <v>0.97</v>
      </c>
      <c r="F11" s="33" t="n">
        <v>1</v>
      </c>
      <c r="G11" s="12" t="n">
        <v>9</v>
      </c>
      <c r="H11" s="12" t="n">
        <v>9</v>
      </c>
      <c r="I11" s="9" t="n">
        <f aca="false">ROUND((D11*0.25+E11*0.25+F11*0.15+G11*10*0.175+H11*10*0.175),1)</f>
        <v>32.1</v>
      </c>
      <c r="J11" s="17" t="s">
        <v>1168</v>
      </c>
      <c r="K11" s="10" t="s">
        <v>1169</v>
      </c>
      <c r="L11" s="12" t="s">
        <v>1170</v>
      </c>
    </row>
    <row r="12" customFormat="false" ht="18" hidden="false" customHeight="true" outlineLevel="0" collapsed="false">
      <c r="A12" s="4" t="s">
        <v>82</v>
      </c>
      <c r="B12" s="5" t="s">
        <v>1181</v>
      </c>
      <c r="C12" s="5" t="s">
        <v>84</v>
      </c>
      <c r="D12" s="32" t="n">
        <v>0.99</v>
      </c>
      <c r="E12" s="32" t="n">
        <v>1</v>
      </c>
      <c r="F12" s="32" t="n">
        <v>1</v>
      </c>
      <c r="G12" s="7" t="n">
        <v>10</v>
      </c>
      <c r="H12" s="7" t="n">
        <v>10</v>
      </c>
      <c r="I12" s="4" t="n">
        <f aca="false">ROUND((D12*0.25+E12*0.25+F12*0.15+G12*10*0.175+H12*10*0.175),1)</f>
        <v>35.6</v>
      </c>
      <c r="J12" s="17" t="s">
        <v>1168</v>
      </c>
      <c r="K12" s="5" t="s">
        <v>1169</v>
      </c>
      <c r="L12" s="7" t="s">
        <v>1170</v>
      </c>
    </row>
    <row r="13" customFormat="false" ht="18" hidden="false" customHeight="true" outlineLevel="0" collapsed="false">
      <c r="A13" s="9" t="s">
        <v>90</v>
      </c>
      <c r="B13" s="10" t="s">
        <v>91</v>
      </c>
      <c r="C13" s="10" t="s">
        <v>84</v>
      </c>
      <c r="D13" s="33" t="n">
        <v>0.97</v>
      </c>
      <c r="E13" s="33" t="n">
        <v>0.99</v>
      </c>
      <c r="F13" s="33" t="n">
        <v>1</v>
      </c>
      <c r="G13" s="12" t="n">
        <v>9</v>
      </c>
      <c r="H13" s="12" t="n">
        <v>9</v>
      </c>
      <c r="I13" s="9" t="n">
        <f aca="false">ROUND((D13*0.25+E13*0.25+F13*0.15+G13*10*0.175+H13*10*0.175),1)</f>
        <v>32.1</v>
      </c>
      <c r="J13" s="17" t="s">
        <v>1168</v>
      </c>
      <c r="K13" s="10" t="s">
        <v>1169</v>
      </c>
      <c r="L13" s="12" t="s">
        <v>1170</v>
      </c>
    </row>
    <row r="14" customFormat="false" ht="18" hidden="false" customHeight="true" outlineLevel="0" collapsed="false">
      <c r="A14" s="4" t="s">
        <v>97</v>
      </c>
      <c r="B14" s="5" t="s">
        <v>98</v>
      </c>
      <c r="C14" s="5" t="s">
        <v>84</v>
      </c>
      <c r="D14" s="32" t="n">
        <v>0.98</v>
      </c>
      <c r="E14" s="32" t="n">
        <v>1</v>
      </c>
      <c r="F14" s="32" t="n">
        <v>1</v>
      </c>
      <c r="G14" s="7" t="n">
        <v>10</v>
      </c>
      <c r="H14" s="7" t="n">
        <v>10</v>
      </c>
      <c r="I14" s="4" t="n">
        <f aca="false">ROUND((D14*0.25+E14*0.25+F14*0.15+G14*10*0.175+H14*10*0.175),1)</f>
        <v>35.6</v>
      </c>
      <c r="J14" s="17" t="s">
        <v>1168</v>
      </c>
      <c r="K14" s="5" t="s">
        <v>1169</v>
      </c>
      <c r="L14" s="7" t="s">
        <v>1170</v>
      </c>
    </row>
    <row r="15" customFormat="false" ht="18" hidden="false" customHeight="true" outlineLevel="0" collapsed="false">
      <c r="A15" s="9" t="s">
        <v>104</v>
      </c>
      <c r="B15" s="10" t="s">
        <v>105</v>
      </c>
      <c r="C15" s="10" t="s">
        <v>84</v>
      </c>
      <c r="D15" s="33" t="n">
        <v>0.93</v>
      </c>
      <c r="E15" s="33" t="n">
        <v>0.96</v>
      </c>
      <c r="F15" s="33" t="n">
        <v>0.98</v>
      </c>
      <c r="G15" s="12" t="n">
        <v>8</v>
      </c>
      <c r="H15" s="12" t="n">
        <v>8</v>
      </c>
      <c r="I15" s="9" t="n">
        <f aca="false">ROUND((D15*0.25+E15*0.25+F15*0.15+G15*10*0.175+H15*10*0.175),1)</f>
        <v>28.6</v>
      </c>
      <c r="J15" s="22" t="s">
        <v>1176</v>
      </c>
      <c r="K15" s="10" t="s">
        <v>1177</v>
      </c>
      <c r="L15" s="12" t="s">
        <v>1174</v>
      </c>
    </row>
    <row r="16" customFormat="false" ht="18" hidden="false" customHeight="true" outlineLevel="0" collapsed="false">
      <c r="A16" s="4" t="s">
        <v>111</v>
      </c>
      <c r="B16" s="5" t="s">
        <v>112</v>
      </c>
      <c r="C16" s="5" t="s">
        <v>113</v>
      </c>
      <c r="D16" s="32" t="n">
        <v>0.99</v>
      </c>
      <c r="E16" s="32" t="n">
        <v>1</v>
      </c>
      <c r="F16" s="32" t="n">
        <v>1</v>
      </c>
      <c r="G16" s="7" t="n">
        <v>10</v>
      </c>
      <c r="H16" s="7" t="n">
        <v>10</v>
      </c>
      <c r="I16" s="4" t="n">
        <f aca="false">ROUND((D16*0.25+E16*0.25+F16*0.15+G16*10*0.175+H16*10*0.175),1)</f>
        <v>35.6</v>
      </c>
      <c r="J16" s="17" t="s">
        <v>1168</v>
      </c>
      <c r="K16" s="5" t="s">
        <v>1169</v>
      </c>
      <c r="L16" s="7" t="s">
        <v>1170</v>
      </c>
    </row>
    <row r="17" customFormat="false" ht="18" hidden="false" customHeight="true" outlineLevel="0" collapsed="false">
      <c r="A17" s="9" t="s">
        <v>119</v>
      </c>
      <c r="B17" s="10" t="s">
        <v>120</v>
      </c>
      <c r="C17" s="10" t="s">
        <v>113</v>
      </c>
      <c r="D17" s="33" t="n">
        <v>0.9</v>
      </c>
      <c r="E17" s="33" t="n">
        <v>0.97</v>
      </c>
      <c r="F17" s="33" t="n">
        <v>0.98</v>
      </c>
      <c r="G17" s="12" t="n">
        <v>8</v>
      </c>
      <c r="H17" s="12" t="n">
        <v>8</v>
      </c>
      <c r="I17" s="9" t="n">
        <f aca="false">ROUND((D17*0.25+E17*0.25+F17*0.15+G17*10*0.175+H17*10*0.175),1)</f>
        <v>28.6</v>
      </c>
      <c r="J17" s="21" t="s">
        <v>1172</v>
      </c>
      <c r="K17" s="10" t="s">
        <v>1173</v>
      </c>
      <c r="L17" s="12" t="s">
        <v>1174</v>
      </c>
    </row>
    <row r="18" customFormat="false" ht="18" hidden="false" customHeight="true" outlineLevel="0" collapsed="false">
      <c r="A18" s="4" t="s">
        <v>126</v>
      </c>
      <c r="B18" s="5" t="s">
        <v>127</v>
      </c>
      <c r="C18" s="5" t="s">
        <v>128</v>
      </c>
      <c r="D18" s="32" t="n">
        <v>0.97</v>
      </c>
      <c r="E18" s="32" t="n">
        <v>0.98</v>
      </c>
      <c r="F18" s="32" t="n">
        <v>1</v>
      </c>
      <c r="G18" s="7" t="n">
        <v>9</v>
      </c>
      <c r="H18" s="7" t="n">
        <v>9</v>
      </c>
      <c r="I18" s="4" t="n">
        <f aca="false">ROUND((D18*0.25+E18*0.25+F18*0.15+G18*10*0.175+H18*10*0.175),1)</f>
        <v>32.1</v>
      </c>
      <c r="J18" s="17" t="s">
        <v>1168</v>
      </c>
      <c r="K18" s="5" t="s">
        <v>1169</v>
      </c>
      <c r="L18" s="7" t="s">
        <v>1170</v>
      </c>
    </row>
    <row r="19" customFormat="false" ht="18" hidden="false" customHeight="true" outlineLevel="0" collapsed="false">
      <c r="A19" s="9" t="s">
        <v>135</v>
      </c>
      <c r="B19" s="10" t="s">
        <v>1182</v>
      </c>
      <c r="C19" s="10" t="s">
        <v>128</v>
      </c>
      <c r="D19" s="33" t="n">
        <v>0.98</v>
      </c>
      <c r="E19" s="33" t="n">
        <v>0.99</v>
      </c>
      <c r="F19" s="33" t="n">
        <v>1</v>
      </c>
      <c r="G19" s="12" t="n">
        <v>9</v>
      </c>
      <c r="H19" s="12" t="n">
        <v>9</v>
      </c>
      <c r="I19" s="9" t="n">
        <f aca="false">ROUND((D19*0.25+E19*0.25+F19*0.15+G19*10*0.175+H19*10*0.175),1)</f>
        <v>32.1</v>
      </c>
      <c r="J19" s="17" t="s">
        <v>1168</v>
      </c>
      <c r="K19" s="10" t="s">
        <v>1169</v>
      </c>
      <c r="L19" s="12" t="s">
        <v>1170</v>
      </c>
    </row>
    <row r="20" customFormat="false" ht="18" hidden="false" customHeight="true" outlineLevel="0" collapsed="false">
      <c r="A20" s="4" t="s">
        <v>142</v>
      </c>
      <c r="B20" s="5" t="s">
        <v>143</v>
      </c>
      <c r="C20" s="5" t="s">
        <v>128</v>
      </c>
      <c r="D20" s="32" t="n">
        <v>0.94</v>
      </c>
      <c r="E20" s="32" t="n">
        <v>0.97</v>
      </c>
      <c r="F20" s="32" t="n">
        <v>0.98</v>
      </c>
      <c r="G20" s="7" t="n">
        <v>8</v>
      </c>
      <c r="H20" s="7" t="n">
        <v>8</v>
      </c>
      <c r="I20" s="4" t="n">
        <f aca="false">ROUND((D20*0.25+E20*0.25+F20*0.15+G20*10*0.175+H20*10*0.175),1)</f>
        <v>28.6</v>
      </c>
      <c r="J20" s="22" t="s">
        <v>1176</v>
      </c>
      <c r="K20" s="5" t="s">
        <v>1177</v>
      </c>
      <c r="L20" s="7" t="s">
        <v>1174</v>
      </c>
    </row>
    <row r="21" customFormat="false" ht="18" hidden="false" customHeight="true" outlineLevel="0" collapsed="false">
      <c r="A21" s="9" t="s">
        <v>149</v>
      </c>
      <c r="B21" s="10" t="s">
        <v>150</v>
      </c>
      <c r="C21" s="10" t="s">
        <v>151</v>
      </c>
      <c r="D21" s="33" t="n">
        <v>0.98</v>
      </c>
      <c r="E21" s="33" t="n">
        <v>0.99</v>
      </c>
      <c r="F21" s="33" t="n">
        <v>1</v>
      </c>
      <c r="G21" s="12" t="n">
        <v>9</v>
      </c>
      <c r="H21" s="12" t="n">
        <v>9</v>
      </c>
      <c r="I21" s="9" t="n">
        <f aca="false">ROUND((D21*0.25+E21*0.25+F21*0.15+G21*10*0.175+H21*10*0.175),1)</f>
        <v>32.1</v>
      </c>
      <c r="J21" s="17" t="s">
        <v>1168</v>
      </c>
      <c r="K21" s="10" t="s">
        <v>1169</v>
      </c>
      <c r="L21" s="12" t="s">
        <v>1170</v>
      </c>
    </row>
    <row r="22" customFormat="false" ht="18" hidden="false" customHeight="true" outlineLevel="0" collapsed="false">
      <c r="A22" s="4" t="s">
        <v>157</v>
      </c>
      <c r="B22" s="5" t="s">
        <v>158</v>
      </c>
      <c r="C22" s="5" t="s">
        <v>151</v>
      </c>
      <c r="D22" s="32" t="n">
        <v>0.99</v>
      </c>
      <c r="E22" s="32" t="n">
        <v>1</v>
      </c>
      <c r="F22" s="32" t="n">
        <v>1</v>
      </c>
      <c r="G22" s="7" t="n">
        <v>10</v>
      </c>
      <c r="H22" s="7" t="n">
        <v>10</v>
      </c>
      <c r="I22" s="4" t="n">
        <f aca="false">ROUND((D22*0.25+E22*0.25+F22*0.15+G22*10*0.175+H22*10*0.175),1)</f>
        <v>35.6</v>
      </c>
      <c r="J22" s="17" t="s">
        <v>1168</v>
      </c>
      <c r="K22" s="5" t="s">
        <v>1169</v>
      </c>
      <c r="L22" s="7" t="s">
        <v>1170</v>
      </c>
    </row>
    <row r="23" customFormat="false" ht="18" hidden="false" customHeight="true" outlineLevel="0" collapsed="false">
      <c r="A23" s="9" t="s">
        <v>164</v>
      </c>
      <c r="B23" s="10" t="s">
        <v>165</v>
      </c>
      <c r="C23" s="10" t="s">
        <v>151</v>
      </c>
      <c r="D23" s="33" t="n">
        <v>0.92</v>
      </c>
      <c r="E23" s="33" t="n">
        <v>0.96</v>
      </c>
      <c r="F23" s="33" t="n">
        <v>0.98</v>
      </c>
      <c r="G23" s="12" t="n">
        <v>8</v>
      </c>
      <c r="H23" s="12" t="n">
        <v>8</v>
      </c>
      <c r="I23" s="9" t="n">
        <f aca="false">ROUND((D23*0.25+E23*0.25+F23*0.15+G23*10*0.175+H23*10*0.175),1)</f>
        <v>28.6</v>
      </c>
      <c r="J23" s="21" t="s">
        <v>1172</v>
      </c>
      <c r="K23" s="10" t="s">
        <v>1173</v>
      </c>
      <c r="L23" s="12" t="s">
        <v>1174</v>
      </c>
    </row>
    <row r="24" customFormat="false" ht="18" hidden="false" customHeight="true" outlineLevel="0" collapsed="false">
      <c r="A24" s="4" t="s">
        <v>171</v>
      </c>
      <c r="B24" s="5" t="s">
        <v>1183</v>
      </c>
      <c r="C24" s="5" t="s">
        <v>151</v>
      </c>
      <c r="D24" s="32" t="n">
        <v>0.97</v>
      </c>
      <c r="E24" s="32" t="n">
        <v>0.98</v>
      </c>
      <c r="F24" s="32" t="n">
        <v>1</v>
      </c>
      <c r="G24" s="7" t="n">
        <v>9</v>
      </c>
      <c r="H24" s="7" t="n">
        <v>9</v>
      </c>
      <c r="I24" s="4" t="n">
        <f aca="false">ROUND((D24*0.25+E24*0.25+F24*0.15+G24*10*0.175+H24*10*0.175),1)</f>
        <v>32.1</v>
      </c>
      <c r="J24" s="17" t="s">
        <v>1168</v>
      </c>
      <c r="K24" s="5" t="s">
        <v>1169</v>
      </c>
      <c r="L24" s="7" t="s">
        <v>1170</v>
      </c>
    </row>
    <row r="25" customFormat="false" ht="18" hidden="false" customHeight="true" outlineLevel="0" collapsed="false">
      <c r="A25" s="9" t="s">
        <v>178</v>
      </c>
      <c r="B25" s="10" t="s">
        <v>179</v>
      </c>
      <c r="C25" s="10" t="s">
        <v>151</v>
      </c>
      <c r="D25" s="33" t="n">
        <v>0.93</v>
      </c>
      <c r="E25" s="33" t="n">
        <v>0.95</v>
      </c>
      <c r="F25" s="33" t="n">
        <v>0.99</v>
      </c>
      <c r="G25" s="12" t="n">
        <v>8</v>
      </c>
      <c r="H25" s="12" t="n">
        <v>8</v>
      </c>
      <c r="I25" s="9" t="n">
        <f aca="false">ROUND((D25*0.25+E25*0.25+F25*0.15+G25*10*0.175+H25*10*0.175),1)</f>
        <v>28.6</v>
      </c>
      <c r="J25" s="21" t="s">
        <v>1172</v>
      </c>
      <c r="K25" s="10" t="s">
        <v>1173</v>
      </c>
      <c r="L25" s="12" t="s">
        <v>1174</v>
      </c>
    </row>
    <row r="26" customFormat="false" ht="18" hidden="false" customHeight="true" outlineLevel="0" collapsed="false">
      <c r="A26" s="4" t="s">
        <v>185</v>
      </c>
      <c r="B26" s="5" t="s">
        <v>186</v>
      </c>
      <c r="C26" s="5" t="s">
        <v>187</v>
      </c>
      <c r="D26" s="32" t="n">
        <v>0.97</v>
      </c>
      <c r="E26" s="32" t="n">
        <v>0.98</v>
      </c>
      <c r="F26" s="32" t="n">
        <v>1</v>
      </c>
      <c r="G26" s="7" t="n">
        <v>9</v>
      </c>
      <c r="H26" s="7" t="n">
        <v>8</v>
      </c>
      <c r="I26" s="4" t="n">
        <f aca="false">ROUND((D26*0.25+E26*0.25+F26*0.15+G26*10*0.175+H26*10*0.175),1)</f>
        <v>30.4</v>
      </c>
      <c r="J26" s="22" t="s">
        <v>1176</v>
      </c>
      <c r="K26" s="5" t="s">
        <v>1177</v>
      </c>
      <c r="L26" s="7" t="s">
        <v>1174</v>
      </c>
    </row>
    <row r="27" customFormat="false" ht="18" hidden="false" customHeight="true" outlineLevel="0" collapsed="false">
      <c r="A27" s="9" t="s">
        <v>193</v>
      </c>
      <c r="B27" s="10" t="s">
        <v>1184</v>
      </c>
      <c r="C27" s="10" t="s">
        <v>187</v>
      </c>
      <c r="D27" s="33" t="n">
        <v>0.83</v>
      </c>
      <c r="E27" s="33" t="n">
        <v>0.9</v>
      </c>
      <c r="F27" s="33" t="n">
        <v>0.92</v>
      </c>
      <c r="G27" s="12" t="n">
        <v>6</v>
      </c>
      <c r="H27" s="12" t="n">
        <v>7</v>
      </c>
      <c r="I27" s="9" t="n">
        <f aca="false">ROUND((D27*0.25+E27*0.25+F27*0.15+G27*10*0.175+H27*10*0.175),1)</f>
        <v>23.3</v>
      </c>
      <c r="J27" s="23" t="s">
        <v>1178</v>
      </c>
      <c r="K27" s="10" t="s">
        <v>1179</v>
      </c>
      <c r="L27" s="12" t="s">
        <v>1180</v>
      </c>
    </row>
    <row r="28" customFormat="false" ht="18" hidden="false" customHeight="true" outlineLevel="0" collapsed="false">
      <c r="A28" s="4" t="s">
        <v>200</v>
      </c>
      <c r="B28" s="5" t="s">
        <v>201</v>
      </c>
      <c r="C28" s="5" t="s">
        <v>202</v>
      </c>
      <c r="D28" s="32" t="n">
        <v>0.9</v>
      </c>
      <c r="E28" s="32" t="n">
        <v>0.92</v>
      </c>
      <c r="F28" s="32" t="n">
        <v>1</v>
      </c>
      <c r="G28" s="7" t="n">
        <v>8</v>
      </c>
      <c r="H28" s="7" t="n">
        <v>8</v>
      </c>
      <c r="I28" s="4" t="n">
        <f aca="false">ROUND((D28*0.25+E28*0.25+F28*0.15+G28*10*0.175+H28*10*0.175),1)</f>
        <v>28.6</v>
      </c>
      <c r="J28" s="21" t="s">
        <v>1172</v>
      </c>
      <c r="K28" s="5" t="s">
        <v>1173</v>
      </c>
      <c r="L28" s="7" t="s">
        <v>1174</v>
      </c>
    </row>
    <row r="29" customFormat="false" ht="18" hidden="false" customHeight="true" outlineLevel="0" collapsed="false">
      <c r="A29" s="9" t="s">
        <v>208</v>
      </c>
      <c r="B29" s="10" t="s">
        <v>209</v>
      </c>
      <c r="C29" s="10" t="s">
        <v>202</v>
      </c>
      <c r="D29" s="33" t="n">
        <v>0.91</v>
      </c>
      <c r="E29" s="33" t="n">
        <v>0.93</v>
      </c>
      <c r="F29" s="33" t="n">
        <v>1</v>
      </c>
      <c r="G29" s="12" t="n">
        <v>8</v>
      </c>
      <c r="H29" s="12" t="n">
        <v>8</v>
      </c>
      <c r="I29" s="9" t="n">
        <f aca="false">ROUND((D29*0.25+E29*0.25+F29*0.15+G29*10*0.175+H29*10*0.175),1)</f>
        <v>28.6</v>
      </c>
      <c r="J29" s="21" t="s">
        <v>1172</v>
      </c>
      <c r="K29" s="10" t="s">
        <v>1173</v>
      </c>
      <c r="L29" s="12" t="s">
        <v>1174</v>
      </c>
    </row>
    <row r="30" customFormat="false" ht="18" hidden="false" customHeight="true" outlineLevel="0" collapsed="false">
      <c r="A30" s="4" t="s">
        <v>215</v>
      </c>
      <c r="B30" s="5" t="s">
        <v>1185</v>
      </c>
      <c r="C30" s="5" t="s">
        <v>217</v>
      </c>
      <c r="D30" s="32" t="n">
        <v>0.95</v>
      </c>
      <c r="E30" s="32" t="n">
        <v>0.98</v>
      </c>
      <c r="F30" s="32" t="n">
        <v>1</v>
      </c>
      <c r="G30" s="7" t="n">
        <v>8</v>
      </c>
      <c r="H30" s="7" t="n">
        <v>9</v>
      </c>
      <c r="I30" s="4" t="n">
        <f aca="false">ROUND((D30*0.25+E30*0.25+F30*0.15+G30*10*0.175+H30*10*0.175),1)</f>
        <v>30.4</v>
      </c>
      <c r="J30" s="22" t="s">
        <v>1176</v>
      </c>
      <c r="K30" s="5" t="s">
        <v>1177</v>
      </c>
      <c r="L30" s="7" t="s">
        <v>1174</v>
      </c>
    </row>
    <row r="31" customFormat="false" ht="18" hidden="false" customHeight="true" outlineLevel="0" collapsed="false">
      <c r="A31" s="9" t="s">
        <v>223</v>
      </c>
      <c r="B31" s="10" t="s">
        <v>1186</v>
      </c>
      <c r="C31" s="10" t="s">
        <v>217</v>
      </c>
      <c r="D31" s="33" t="n">
        <v>0.8</v>
      </c>
      <c r="E31" s="33" t="n">
        <v>0.88</v>
      </c>
      <c r="F31" s="33" t="n">
        <v>0.95</v>
      </c>
      <c r="G31" s="12" t="n">
        <v>6</v>
      </c>
      <c r="H31" s="12" t="n">
        <v>7</v>
      </c>
      <c r="I31" s="9" t="n">
        <f aca="false">ROUND((D31*0.25+E31*0.25+F31*0.15+G31*10*0.175+H31*10*0.175),1)</f>
        <v>23.3</v>
      </c>
      <c r="J31" s="23" t="s">
        <v>1178</v>
      </c>
      <c r="K31" s="10" t="s">
        <v>1179</v>
      </c>
      <c r="L31" s="12" t="s">
        <v>1180</v>
      </c>
    </row>
    <row r="32" customFormat="false" ht="18" hidden="false" customHeight="true" outlineLevel="0" collapsed="false">
      <c r="A32" s="4" t="s">
        <v>230</v>
      </c>
      <c r="B32" s="5" t="s">
        <v>231</v>
      </c>
      <c r="C32" s="5" t="s">
        <v>18</v>
      </c>
      <c r="D32" s="32" t="n">
        <v>0.88</v>
      </c>
      <c r="E32" s="32" t="n">
        <v>0.93</v>
      </c>
      <c r="F32" s="32" t="n">
        <v>0.96</v>
      </c>
      <c r="G32" s="7" t="n">
        <v>7</v>
      </c>
      <c r="H32" s="7" t="n">
        <v>7</v>
      </c>
      <c r="I32" s="4" t="n">
        <f aca="false">ROUND((D32*0.25+E32*0.25+F32*0.15+G32*10*0.175+H32*10*0.175),1)</f>
        <v>25.1</v>
      </c>
      <c r="J32" s="21" t="s">
        <v>1172</v>
      </c>
      <c r="K32" s="5" t="s">
        <v>1173</v>
      </c>
      <c r="L32" s="7" t="s">
        <v>1180</v>
      </c>
    </row>
    <row r="33" customFormat="false" ht="18" hidden="false" customHeight="true" outlineLevel="0" collapsed="false">
      <c r="A33" s="9" t="s">
        <v>237</v>
      </c>
      <c r="B33" s="10" t="s">
        <v>1187</v>
      </c>
      <c r="C33" s="10" t="s">
        <v>239</v>
      </c>
      <c r="D33" s="33" t="n">
        <v>0.94</v>
      </c>
      <c r="E33" s="33" t="n">
        <v>0.96</v>
      </c>
      <c r="F33" s="33" t="n">
        <v>0.99</v>
      </c>
      <c r="G33" s="12" t="n">
        <v>8</v>
      </c>
      <c r="H33" s="12" t="n">
        <v>8</v>
      </c>
      <c r="I33" s="9" t="n">
        <f aca="false">ROUND((D33*0.25+E33*0.25+F33*0.15+G33*10*0.175+H33*10*0.175),1)</f>
        <v>28.6</v>
      </c>
      <c r="J33" s="22" t="s">
        <v>1176</v>
      </c>
      <c r="K33" s="10" t="s">
        <v>1177</v>
      </c>
      <c r="L33" s="12" t="s">
        <v>1174</v>
      </c>
    </row>
    <row r="34" customFormat="false" ht="18" hidden="false" customHeight="true" outlineLevel="0" collapsed="false">
      <c r="A34" s="4" t="s">
        <v>245</v>
      </c>
      <c r="B34" s="5" t="s">
        <v>1188</v>
      </c>
      <c r="C34" s="5" t="s">
        <v>239</v>
      </c>
      <c r="D34" s="32" t="n">
        <v>0.93</v>
      </c>
      <c r="E34" s="32" t="n">
        <v>0.95</v>
      </c>
      <c r="F34" s="32" t="n">
        <v>0.99</v>
      </c>
      <c r="G34" s="7" t="n">
        <v>8</v>
      </c>
      <c r="H34" s="7" t="n">
        <v>8</v>
      </c>
      <c r="I34" s="4" t="n">
        <f aca="false">ROUND((D34*0.25+E34*0.25+F34*0.15+G34*10*0.175+H34*10*0.175),1)</f>
        <v>28.6</v>
      </c>
      <c r="J34" s="21" t="s">
        <v>1172</v>
      </c>
      <c r="K34" s="5" t="s">
        <v>1173</v>
      </c>
      <c r="L34" s="7" t="s">
        <v>1174</v>
      </c>
    </row>
    <row r="35" customFormat="false" ht="18" hidden="false" customHeight="true" outlineLevel="0" collapsed="false">
      <c r="A35" s="9" t="s">
        <v>252</v>
      </c>
      <c r="B35" s="10" t="s">
        <v>1189</v>
      </c>
      <c r="C35" s="10" t="s">
        <v>239</v>
      </c>
      <c r="D35" s="33" t="n">
        <v>0.91</v>
      </c>
      <c r="E35" s="33" t="n">
        <v>0.94</v>
      </c>
      <c r="F35" s="33" t="n">
        <v>0.97</v>
      </c>
      <c r="G35" s="12" t="n">
        <v>8</v>
      </c>
      <c r="H35" s="12" t="n">
        <v>7</v>
      </c>
      <c r="I35" s="9" t="n">
        <f aca="false">ROUND((D35*0.25+E35*0.25+F35*0.15+G35*10*0.175+H35*10*0.175),1)</f>
        <v>26.9</v>
      </c>
      <c r="J35" s="21" t="s">
        <v>1172</v>
      </c>
      <c r="K35" s="10" t="s">
        <v>1173</v>
      </c>
      <c r="L35" s="12" t="s">
        <v>1174</v>
      </c>
    </row>
    <row r="36" customFormat="false" ht="18" hidden="false" customHeight="true" outlineLevel="0" collapsed="false">
      <c r="A36" s="4" t="s">
        <v>259</v>
      </c>
      <c r="B36" s="5" t="s">
        <v>260</v>
      </c>
      <c r="C36" s="5" t="s">
        <v>239</v>
      </c>
      <c r="D36" s="32" t="n">
        <v>0.74</v>
      </c>
      <c r="E36" s="32" t="n">
        <v>0.82</v>
      </c>
      <c r="F36" s="32" t="n">
        <v>0.85</v>
      </c>
      <c r="G36" s="7" t="n">
        <v>5</v>
      </c>
      <c r="H36" s="7" t="n">
        <v>6</v>
      </c>
      <c r="I36" s="4" t="n">
        <f aca="false">ROUND((D36*0.25+E36*0.25+F36*0.15+G36*10*0.175+H36*10*0.175),1)</f>
        <v>19.8</v>
      </c>
      <c r="J36" s="23" t="s">
        <v>1178</v>
      </c>
      <c r="K36" s="5" t="s">
        <v>1179</v>
      </c>
      <c r="L36" s="7" t="s">
        <v>1190</v>
      </c>
    </row>
    <row r="37" customFormat="false" ht="18" hidden="false" customHeight="true" outlineLevel="0" collapsed="false">
      <c r="A37" s="9" t="s">
        <v>267</v>
      </c>
      <c r="B37" s="10" t="s">
        <v>268</v>
      </c>
      <c r="C37" s="10" t="s">
        <v>269</v>
      </c>
      <c r="D37" s="33" t="n">
        <v>0.97</v>
      </c>
      <c r="E37" s="33" t="n">
        <v>0.99</v>
      </c>
      <c r="F37" s="33" t="n">
        <v>1</v>
      </c>
      <c r="G37" s="12" t="n">
        <v>9</v>
      </c>
      <c r="H37" s="12" t="n">
        <v>9</v>
      </c>
      <c r="I37" s="9" t="n">
        <f aca="false">ROUND((D37*0.25+E37*0.25+F37*0.15+G37*10*0.175+H37*10*0.175),1)</f>
        <v>32.1</v>
      </c>
      <c r="J37" s="17" t="s">
        <v>1168</v>
      </c>
      <c r="K37" s="10" t="s">
        <v>1169</v>
      </c>
      <c r="L37" s="12" t="s">
        <v>1170</v>
      </c>
    </row>
    <row r="38" customFormat="false" ht="18" hidden="false" customHeight="true" outlineLevel="0" collapsed="false">
      <c r="A38" s="4" t="s">
        <v>275</v>
      </c>
      <c r="B38" s="5" t="s">
        <v>276</v>
      </c>
      <c r="C38" s="5" t="s">
        <v>269</v>
      </c>
      <c r="D38" s="32" t="n">
        <v>0.96</v>
      </c>
      <c r="E38" s="32" t="n">
        <v>0.98</v>
      </c>
      <c r="F38" s="32" t="n">
        <v>1</v>
      </c>
      <c r="G38" s="7" t="n">
        <v>9</v>
      </c>
      <c r="H38" s="7" t="n">
        <v>9</v>
      </c>
      <c r="I38" s="4" t="n">
        <f aca="false">ROUND((D38*0.25+E38*0.25+F38*0.15+G38*10*0.175+H38*10*0.175),1)</f>
        <v>32.1</v>
      </c>
      <c r="J38" s="17" t="s">
        <v>1168</v>
      </c>
      <c r="K38" s="5" t="s">
        <v>1169</v>
      </c>
      <c r="L38" s="7" t="s">
        <v>1170</v>
      </c>
    </row>
    <row r="39" customFormat="false" ht="18" hidden="false" customHeight="true" outlineLevel="0" collapsed="false">
      <c r="A39" s="9" t="s">
        <v>282</v>
      </c>
      <c r="B39" s="10" t="s">
        <v>283</v>
      </c>
      <c r="C39" s="10" t="s">
        <v>269</v>
      </c>
      <c r="D39" s="33" t="n">
        <v>0.91</v>
      </c>
      <c r="E39" s="33" t="n">
        <v>0.95</v>
      </c>
      <c r="F39" s="33" t="n">
        <v>0.99</v>
      </c>
      <c r="G39" s="12" t="n">
        <v>8</v>
      </c>
      <c r="H39" s="12" t="n">
        <v>8</v>
      </c>
      <c r="I39" s="9" t="n">
        <f aca="false">ROUND((D39*0.25+E39*0.25+F39*0.15+G39*10*0.175+H39*10*0.175),1)</f>
        <v>28.6</v>
      </c>
      <c r="J39" s="21" t="s">
        <v>1172</v>
      </c>
      <c r="K39" s="10" t="s">
        <v>1173</v>
      </c>
      <c r="L39" s="12" t="s">
        <v>1174</v>
      </c>
    </row>
    <row r="40" customFormat="false" ht="18" hidden="false" customHeight="true" outlineLevel="0" collapsed="false">
      <c r="A40" s="4" t="s">
        <v>289</v>
      </c>
      <c r="B40" s="5" t="s">
        <v>290</v>
      </c>
      <c r="C40" s="5" t="s">
        <v>291</v>
      </c>
      <c r="D40" s="32" t="n">
        <v>0.98</v>
      </c>
      <c r="E40" s="32" t="n">
        <v>1</v>
      </c>
      <c r="F40" s="32" t="n">
        <v>1</v>
      </c>
      <c r="G40" s="7" t="n">
        <v>10</v>
      </c>
      <c r="H40" s="7" t="n">
        <v>10</v>
      </c>
      <c r="I40" s="4" t="n">
        <f aca="false">ROUND((D40*0.25+E40*0.25+F40*0.15+G40*10*0.175+H40*10*0.175),1)</f>
        <v>35.6</v>
      </c>
      <c r="J40" s="17" t="s">
        <v>1168</v>
      </c>
      <c r="K40" s="5" t="s">
        <v>1169</v>
      </c>
      <c r="L40" s="7" t="s">
        <v>1170</v>
      </c>
    </row>
    <row r="41" customFormat="false" ht="18" hidden="false" customHeight="true" outlineLevel="0" collapsed="false">
      <c r="A41" s="9" t="s">
        <v>298</v>
      </c>
      <c r="B41" s="10" t="s">
        <v>299</v>
      </c>
      <c r="C41" s="10" t="s">
        <v>291</v>
      </c>
      <c r="D41" s="33" t="n">
        <v>0.96</v>
      </c>
      <c r="E41" s="33" t="n">
        <v>0.99</v>
      </c>
      <c r="F41" s="33" t="n">
        <v>1</v>
      </c>
      <c r="G41" s="12" t="n">
        <v>9</v>
      </c>
      <c r="H41" s="12" t="n">
        <v>9</v>
      </c>
      <c r="I41" s="9" t="n">
        <f aca="false">ROUND((D41*0.25+E41*0.25+F41*0.15+G41*10*0.175+H41*10*0.175),1)</f>
        <v>32.1</v>
      </c>
      <c r="J41" s="17" t="s">
        <v>1168</v>
      </c>
      <c r="K41" s="10" t="s">
        <v>1169</v>
      </c>
      <c r="L41" s="12" t="s">
        <v>1170</v>
      </c>
    </row>
    <row r="42" customFormat="false" ht="18" hidden="false" customHeight="true" outlineLevel="0" collapsed="false">
      <c r="A42" s="4" t="s">
        <v>306</v>
      </c>
      <c r="B42" s="5" t="s">
        <v>307</v>
      </c>
      <c r="C42" s="5" t="s">
        <v>308</v>
      </c>
      <c r="D42" s="32" t="n">
        <v>0.93</v>
      </c>
      <c r="E42" s="32" t="n">
        <v>0.95</v>
      </c>
      <c r="F42" s="32" t="n">
        <v>0.98</v>
      </c>
      <c r="G42" s="7" t="n">
        <v>8</v>
      </c>
      <c r="H42" s="7" t="n">
        <v>8</v>
      </c>
      <c r="I42" s="4" t="n">
        <f aca="false">ROUND((D42*0.25+E42*0.25+F42*0.15+G42*10*0.175+H42*10*0.175),1)</f>
        <v>28.6</v>
      </c>
      <c r="J42" s="21" t="s">
        <v>1172</v>
      </c>
      <c r="K42" s="5" t="s">
        <v>1173</v>
      </c>
      <c r="L42" s="7" t="s">
        <v>1174</v>
      </c>
    </row>
    <row r="43" customFormat="false" ht="18" hidden="false" customHeight="true" outlineLevel="0" collapsed="false">
      <c r="A43" s="9" t="s">
        <v>314</v>
      </c>
      <c r="B43" s="10" t="s">
        <v>315</v>
      </c>
      <c r="C43" s="10" t="s">
        <v>316</v>
      </c>
      <c r="D43" s="33" t="n">
        <v>0.82</v>
      </c>
      <c r="E43" s="33" t="n">
        <v>0.88</v>
      </c>
      <c r="F43" s="33" t="n">
        <v>0.9</v>
      </c>
      <c r="G43" s="12" t="n">
        <v>7</v>
      </c>
      <c r="H43" s="12" t="n">
        <v>7</v>
      </c>
      <c r="I43" s="9" t="n">
        <f aca="false">ROUND((D43*0.25+E43*0.25+F43*0.15+G43*10*0.175+H43*10*0.175),1)</f>
        <v>25.1</v>
      </c>
      <c r="J43" s="21" t="s">
        <v>1172</v>
      </c>
      <c r="K43" s="10" t="s">
        <v>1173</v>
      </c>
      <c r="L43" s="12" t="s">
        <v>1180</v>
      </c>
    </row>
  </sheetData>
  <autoFilter ref="A3:L4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FAD"/>
    <pageSetUpPr fitToPage="false"/>
  </sheetPr>
  <dimension ref="A1:V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8" min="7" style="0" width="11"/>
  </cols>
  <sheetData>
    <row r="1" customFormat="false" ht="45.75" hidden="false" customHeight="true" outlineLevel="0" collapsed="false">
      <c r="A1" s="1" t="s">
        <v>1191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34" t="s">
        <v>1192</v>
      </c>
      <c r="T1" s="34" t="s">
        <v>1193</v>
      </c>
      <c r="U1" s="34" t="s">
        <v>4</v>
      </c>
      <c r="V1" s="34" t="s">
        <v>1194</v>
      </c>
    </row>
    <row r="2" customFormat="false" ht="19.5" hidden="false" customHeight="true" outlineLevel="0" collapsed="false">
      <c r="A2" s="2" t="s">
        <v>1195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s="34" t="s">
        <v>1196</v>
      </c>
      <c r="T2" s="0" t="n">
        <v>3.35</v>
      </c>
      <c r="U2" s="34" t="s">
        <v>18</v>
      </c>
      <c r="V2" s="0" t="n">
        <v>124.85</v>
      </c>
    </row>
    <row r="3" customFormat="false" ht="15" hidden="false" customHeight="false" outlineLevel="0" collapsed="false">
      <c r="S3" s="0" t="s">
        <v>1197</v>
      </c>
      <c r="T3" s="0" t="n">
        <v>5.24</v>
      </c>
      <c r="U3" s="0" t="s">
        <v>46</v>
      </c>
      <c r="V3" s="0" t="n">
        <v>89.25</v>
      </c>
    </row>
    <row r="4" customFormat="false" ht="21.75" hidden="false" customHeight="true" outlineLevel="0" collapsed="false">
      <c r="A4" s="35" t="s">
        <v>1198</v>
      </c>
      <c r="B4" s="35"/>
      <c r="C4" s="35"/>
      <c r="D4" s="35"/>
      <c r="E4" s="36" t="s">
        <v>1199</v>
      </c>
      <c r="F4" s="36"/>
      <c r="G4" s="36"/>
      <c r="H4" s="36"/>
      <c r="I4" s="37" t="s">
        <v>1200</v>
      </c>
      <c r="J4" s="37"/>
      <c r="K4" s="37"/>
      <c r="L4" s="37"/>
      <c r="M4" s="38" t="s">
        <v>1201</v>
      </c>
      <c r="N4" s="38"/>
      <c r="O4" s="38"/>
      <c r="P4" s="38"/>
      <c r="Q4" s="38"/>
      <c r="S4" s="34" t="s">
        <v>1202</v>
      </c>
      <c r="T4" s="0" t="n">
        <v>9.85</v>
      </c>
      <c r="U4" s="34" t="s">
        <v>269</v>
      </c>
      <c r="V4" s="0" t="n">
        <v>130.8</v>
      </c>
    </row>
    <row r="5" customFormat="false" ht="27.75" hidden="false" customHeight="true" outlineLevel="0" collapsed="false">
      <c r="A5" s="39" t="s">
        <v>1203</v>
      </c>
      <c r="B5" s="39"/>
      <c r="C5" s="39"/>
      <c r="D5" s="39"/>
      <c r="E5" s="40" t="s">
        <v>1204</v>
      </c>
      <c r="F5" s="40"/>
      <c r="G5" s="40"/>
      <c r="H5" s="40"/>
      <c r="I5" s="41" t="s">
        <v>1205</v>
      </c>
      <c r="J5" s="41"/>
      <c r="K5" s="41"/>
      <c r="L5" s="41"/>
      <c r="M5" s="42" t="s">
        <v>1206</v>
      </c>
      <c r="N5" s="42"/>
      <c r="O5" s="42"/>
      <c r="P5" s="42"/>
      <c r="Q5" s="42"/>
      <c r="S5" s="34" t="s">
        <v>1207</v>
      </c>
      <c r="T5" s="0" t="n">
        <v>9.25</v>
      </c>
      <c r="U5" s="34" t="s">
        <v>84</v>
      </c>
      <c r="V5" s="0" t="n">
        <v>68.95</v>
      </c>
    </row>
    <row r="6" customFormat="false" ht="21.75" hidden="false" customHeight="true" outlineLevel="0" collapsed="false">
      <c r="A6" s="43" t="s">
        <v>1208</v>
      </c>
      <c r="B6" s="43"/>
      <c r="C6" s="43"/>
      <c r="D6" s="43"/>
      <c r="E6" s="44" t="s">
        <v>1209</v>
      </c>
      <c r="F6" s="44"/>
      <c r="G6" s="44"/>
      <c r="H6" s="44"/>
      <c r="I6" s="45" t="s">
        <v>1210</v>
      </c>
      <c r="J6" s="45"/>
      <c r="K6" s="45"/>
      <c r="L6" s="45"/>
      <c r="M6" s="46" t="s">
        <v>1211</v>
      </c>
      <c r="N6" s="46"/>
      <c r="O6" s="46"/>
      <c r="P6" s="46"/>
      <c r="Q6" s="46"/>
      <c r="S6" s="34" t="s">
        <v>1212</v>
      </c>
      <c r="T6" s="0" t="n">
        <v>5.85</v>
      </c>
      <c r="U6" s="34" t="s">
        <v>291</v>
      </c>
      <c r="V6" s="0" t="n">
        <v>71</v>
      </c>
    </row>
    <row r="7" customFormat="false" ht="15" hidden="false" customHeight="false" outlineLevel="0" collapsed="false">
      <c r="S7" s="0" t="s">
        <v>1213</v>
      </c>
      <c r="T7" s="0" t="n">
        <v>4.25</v>
      </c>
      <c r="U7" s="0" t="s">
        <v>128</v>
      </c>
      <c r="V7" s="0" t="n">
        <v>29.85</v>
      </c>
    </row>
    <row r="8" customFormat="false" ht="25.5" hidden="false" customHeight="true" outlineLevel="0" collapsed="false">
      <c r="A8" s="47" t="s">
        <v>1214</v>
      </c>
      <c r="B8" s="47"/>
      <c r="C8" s="47"/>
      <c r="D8" s="47"/>
      <c r="E8" s="47"/>
      <c r="F8" s="47"/>
      <c r="G8" s="47"/>
      <c r="H8" s="47"/>
      <c r="S8" s="34" t="s">
        <v>1215</v>
      </c>
      <c r="T8" s="0" t="n">
        <v>10.85</v>
      </c>
      <c r="U8" s="34" t="s">
        <v>151</v>
      </c>
      <c r="V8" s="0" t="n">
        <v>15.25</v>
      </c>
    </row>
    <row r="9" customFormat="false" ht="27.75" hidden="false" customHeight="true" outlineLevel="0" collapsed="false">
      <c r="A9" s="3" t="s">
        <v>4</v>
      </c>
      <c r="B9" s="3" t="s">
        <v>1216</v>
      </c>
      <c r="C9" s="3" t="s">
        <v>1217</v>
      </c>
      <c r="D9" s="3" t="s">
        <v>1218</v>
      </c>
      <c r="E9" s="3" t="s">
        <v>1219</v>
      </c>
      <c r="F9" s="3" t="s">
        <v>1220</v>
      </c>
      <c r="G9" s="3" t="s">
        <v>1221</v>
      </c>
      <c r="H9" s="3" t="s">
        <v>1222</v>
      </c>
      <c r="S9" s="34" t="s">
        <v>1223</v>
      </c>
      <c r="T9" s="0" t="n">
        <v>9.48</v>
      </c>
      <c r="U9" s="34" t="s">
        <v>113</v>
      </c>
      <c r="V9" s="0" t="n">
        <v>5.45</v>
      </c>
    </row>
    <row r="10" customFormat="false" ht="18" hidden="false" customHeight="true" outlineLevel="0" collapsed="false">
      <c r="A10" s="5" t="s">
        <v>18</v>
      </c>
      <c r="B10" s="7" t="n">
        <v>18</v>
      </c>
      <c r="C10" s="8" t="n">
        <v>124850000</v>
      </c>
      <c r="D10" s="16" t="n">
        <v>0.227113556778389</v>
      </c>
      <c r="E10" s="8" t="n">
        <v>6936111.11111111</v>
      </c>
      <c r="F10" s="5" t="s">
        <v>17</v>
      </c>
      <c r="G10" s="16" t="n">
        <v>0.98</v>
      </c>
      <c r="H10" s="16" t="n">
        <v>0.99</v>
      </c>
      <c r="S10" s="34" t="s">
        <v>1224</v>
      </c>
      <c r="T10" s="0" t="n">
        <v>13.28</v>
      </c>
      <c r="U10" s="34" t="s">
        <v>239</v>
      </c>
      <c r="V10" s="0" t="n">
        <v>4.98</v>
      </c>
    </row>
    <row r="11" customFormat="false" ht="18" hidden="false" customHeight="true" outlineLevel="0" collapsed="false">
      <c r="A11" s="10" t="s">
        <v>46</v>
      </c>
      <c r="B11" s="12" t="n">
        <v>16</v>
      </c>
      <c r="C11" s="13" t="n">
        <v>89250000</v>
      </c>
      <c r="D11" s="20" t="n">
        <v>0.16235390422484</v>
      </c>
      <c r="E11" s="13" t="n">
        <v>5578125</v>
      </c>
      <c r="F11" s="10" t="s">
        <v>1225</v>
      </c>
      <c r="G11" s="20" t="n">
        <v>0.93</v>
      </c>
      <c r="H11" s="20" t="n">
        <v>0.97</v>
      </c>
      <c r="S11" s="34" t="s">
        <v>1226</v>
      </c>
      <c r="T11" s="0" t="n">
        <v>12.58</v>
      </c>
      <c r="U11" s="34" t="s">
        <v>308</v>
      </c>
      <c r="V11" s="0" t="n">
        <v>4.85</v>
      </c>
    </row>
    <row r="12" customFormat="false" ht="18" hidden="false" customHeight="true" outlineLevel="0" collapsed="false">
      <c r="A12" s="5" t="s">
        <v>269</v>
      </c>
      <c r="B12" s="7" t="n">
        <v>6</v>
      </c>
      <c r="C12" s="8" t="n">
        <v>130800000</v>
      </c>
      <c r="D12" s="16" t="n">
        <v>0.237937150393379</v>
      </c>
      <c r="E12" s="8" t="n">
        <v>21800000</v>
      </c>
      <c r="F12" s="5" t="s">
        <v>276</v>
      </c>
      <c r="G12" s="16" t="n">
        <v>0.95</v>
      </c>
      <c r="H12" s="16" t="n">
        <v>0.98</v>
      </c>
      <c r="S12" s="34" t="s">
        <v>1227</v>
      </c>
      <c r="T12" s="0" t="n">
        <v>9.85</v>
      </c>
      <c r="U12" s="34" t="s">
        <v>187</v>
      </c>
      <c r="V12" s="0" t="n">
        <v>1.25</v>
      </c>
    </row>
    <row r="13" customFormat="false" ht="18" hidden="false" customHeight="true" outlineLevel="0" collapsed="false">
      <c r="A13" s="10" t="s">
        <v>84</v>
      </c>
      <c r="B13" s="12" t="n">
        <v>18</v>
      </c>
      <c r="C13" s="13" t="n">
        <v>68950000</v>
      </c>
      <c r="D13" s="20" t="n">
        <v>0.125426349538406</v>
      </c>
      <c r="E13" s="13" t="n">
        <v>3830555.55555556</v>
      </c>
      <c r="F13" s="10" t="s">
        <v>1181</v>
      </c>
      <c r="G13" s="20" t="n">
        <v>0.97</v>
      </c>
      <c r="H13" s="20" t="n">
        <v>0.99</v>
      </c>
      <c r="S13" s="34" t="s">
        <v>1228</v>
      </c>
      <c r="T13" s="0" t="n">
        <v>8.95</v>
      </c>
      <c r="U13" s="34" t="s">
        <v>316</v>
      </c>
      <c r="V13" s="0" t="n">
        <v>2.85</v>
      </c>
    </row>
    <row r="14" customFormat="false" ht="18" hidden="false" customHeight="true" outlineLevel="0" collapsed="false">
      <c r="A14" s="5" t="s">
        <v>291</v>
      </c>
      <c r="B14" s="7" t="n">
        <v>4</v>
      </c>
      <c r="C14" s="8" t="n">
        <v>71000000</v>
      </c>
      <c r="D14" s="16" t="n">
        <v>0.129155486834326</v>
      </c>
      <c r="E14" s="8" t="n">
        <v>17750000</v>
      </c>
      <c r="F14" s="5" t="s">
        <v>290</v>
      </c>
      <c r="G14" s="16" t="n">
        <v>0.98</v>
      </c>
      <c r="H14" s="16" t="n">
        <v>1</v>
      </c>
      <c r="S14" s="34" t="s">
        <v>1229</v>
      </c>
      <c r="T14" s="0" t="n">
        <v>3.25</v>
      </c>
      <c r="U14" s="34" t="s">
        <v>202</v>
      </c>
      <c r="V14" s="0" t="n">
        <v>0.21</v>
      </c>
    </row>
    <row r="15" customFormat="false" ht="18" hidden="false" customHeight="true" outlineLevel="0" collapsed="false">
      <c r="A15" s="10" t="s">
        <v>128</v>
      </c>
      <c r="B15" s="12" t="n">
        <v>20</v>
      </c>
      <c r="C15" s="13" t="n">
        <v>29850000</v>
      </c>
      <c r="D15" s="20" t="n">
        <v>0.0542998772113329</v>
      </c>
      <c r="E15" s="13" t="n">
        <v>1492500</v>
      </c>
      <c r="F15" s="10" t="s">
        <v>1230</v>
      </c>
      <c r="G15" s="20" t="n">
        <v>0.97</v>
      </c>
      <c r="H15" s="20" t="n">
        <v>0.98</v>
      </c>
      <c r="S15" s="34" t="s">
        <v>1231</v>
      </c>
      <c r="T15" s="0" t="n">
        <v>15.25</v>
      </c>
      <c r="U15" s="34" t="s">
        <v>217</v>
      </c>
      <c r="V15" s="0" t="n">
        <v>0.185</v>
      </c>
    </row>
    <row r="16" customFormat="false" ht="18" hidden="false" customHeight="true" outlineLevel="0" collapsed="false">
      <c r="A16" s="5" t="s">
        <v>151</v>
      </c>
      <c r="B16" s="7" t="n">
        <v>12</v>
      </c>
      <c r="C16" s="8" t="n">
        <v>15250000</v>
      </c>
      <c r="D16" s="16" t="n">
        <v>0.0277411432989222</v>
      </c>
      <c r="E16" s="8" t="n">
        <v>1270833.33333333</v>
      </c>
      <c r="F16" s="5" t="s">
        <v>158</v>
      </c>
      <c r="G16" s="16" t="n">
        <v>0.98</v>
      </c>
      <c r="H16" s="16" t="n">
        <v>0.99</v>
      </c>
      <c r="S16" s="34" t="s">
        <v>1232</v>
      </c>
      <c r="T16" s="0" t="n">
        <v>34.8</v>
      </c>
    </row>
    <row r="17" customFormat="false" ht="18" hidden="false" customHeight="true" outlineLevel="0" collapsed="false">
      <c r="A17" s="10" t="s">
        <v>113</v>
      </c>
      <c r="B17" s="12" t="n">
        <v>10</v>
      </c>
      <c r="C17" s="13" t="n">
        <v>5450000</v>
      </c>
      <c r="D17" s="20" t="n">
        <v>0.00991404793305744</v>
      </c>
      <c r="E17" s="13" t="n">
        <v>545000</v>
      </c>
      <c r="F17" s="10" t="s">
        <v>112</v>
      </c>
      <c r="G17" s="20" t="n">
        <v>0.99</v>
      </c>
      <c r="H17" s="20" t="n">
        <v>1</v>
      </c>
      <c r="S17" s="34" t="s">
        <v>1233</v>
      </c>
      <c r="T17" s="0" t="n">
        <v>9.85</v>
      </c>
    </row>
    <row r="18" customFormat="false" ht="18" hidden="false" customHeight="true" outlineLevel="0" collapsed="false">
      <c r="A18" s="5" t="s">
        <v>239</v>
      </c>
      <c r="B18" s="7" t="n">
        <v>8</v>
      </c>
      <c r="C18" s="8" t="n">
        <v>4980000</v>
      </c>
      <c r="D18" s="16" t="n">
        <v>0.00905907499204148</v>
      </c>
      <c r="E18" s="8" t="n">
        <v>622500</v>
      </c>
      <c r="F18" s="5" t="s">
        <v>1234</v>
      </c>
      <c r="G18" s="16" t="n">
        <v>0.92</v>
      </c>
      <c r="H18" s="16" t="n">
        <v>0.95</v>
      </c>
      <c r="S18" s="34" t="s">
        <v>1235</v>
      </c>
      <c r="T18" s="0" t="n">
        <v>28.5</v>
      </c>
    </row>
    <row r="19" customFormat="false" ht="18" hidden="false" customHeight="true" outlineLevel="0" collapsed="false">
      <c r="A19" s="10" t="s">
        <v>308</v>
      </c>
      <c r="B19" s="12" t="n">
        <v>8</v>
      </c>
      <c r="C19" s="13" t="n">
        <v>4850000</v>
      </c>
      <c r="D19" s="20" t="n">
        <v>0.00882259311473919</v>
      </c>
      <c r="E19" s="13" t="n">
        <v>606250</v>
      </c>
      <c r="F19" s="10" t="s">
        <v>1236</v>
      </c>
      <c r="G19" s="20" t="n">
        <v>0.93</v>
      </c>
      <c r="H19" s="20" t="n">
        <v>0.95</v>
      </c>
      <c r="S19" s="34" t="s">
        <v>1237</v>
      </c>
      <c r="T19" s="0" t="n">
        <v>24.5</v>
      </c>
    </row>
    <row r="20" customFormat="false" ht="18" hidden="false" customHeight="true" outlineLevel="0" collapsed="false">
      <c r="A20" s="5" t="s">
        <v>187</v>
      </c>
      <c r="B20" s="7" t="n">
        <v>6</v>
      </c>
      <c r="C20" s="8" t="n">
        <v>1250000</v>
      </c>
      <c r="D20" s="16" t="n">
        <v>0.00227386420482969</v>
      </c>
      <c r="E20" s="8" t="n">
        <v>208333.333333333</v>
      </c>
      <c r="F20" s="5" t="s">
        <v>186</v>
      </c>
      <c r="G20" s="16" t="n">
        <v>0.96</v>
      </c>
      <c r="H20" s="16" t="n">
        <v>0.98</v>
      </c>
      <c r="S20" s="34" t="s">
        <v>1238</v>
      </c>
      <c r="T20" s="0" t="n">
        <v>18.98</v>
      </c>
    </row>
    <row r="21" customFormat="false" ht="18" hidden="false" customHeight="true" outlineLevel="0" collapsed="false">
      <c r="A21" s="10" t="s">
        <v>316</v>
      </c>
      <c r="B21" s="12" t="n">
        <v>4</v>
      </c>
      <c r="C21" s="13" t="n">
        <v>2850000</v>
      </c>
      <c r="D21" s="20" t="n">
        <v>0.00518441038701169</v>
      </c>
      <c r="E21" s="13" t="n">
        <v>712500</v>
      </c>
      <c r="F21" s="10" t="s">
        <v>1239</v>
      </c>
      <c r="G21" s="20" t="n">
        <v>0.82</v>
      </c>
      <c r="H21" s="20" t="n">
        <v>0.88</v>
      </c>
      <c r="S21" s="34" t="s">
        <v>1240</v>
      </c>
      <c r="T21" s="0" t="n">
        <v>10.25</v>
      </c>
    </row>
    <row r="22" customFormat="false" ht="18" hidden="false" customHeight="true" outlineLevel="0" collapsed="false">
      <c r="A22" s="5" t="s">
        <v>202</v>
      </c>
      <c r="B22" s="7" t="n">
        <v>2</v>
      </c>
      <c r="C22" s="8" t="n">
        <v>210000</v>
      </c>
      <c r="D22" s="16" t="n">
        <v>0.000382009186411388</v>
      </c>
      <c r="E22" s="8" t="n">
        <v>105000</v>
      </c>
      <c r="F22" s="5" t="s">
        <v>1241</v>
      </c>
      <c r="G22" s="16" t="n">
        <v>0.9</v>
      </c>
      <c r="H22" s="16" t="n">
        <v>0.92</v>
      </c>
      <c r="S22" s="34" t="s">
        <v>1242</v>
      </c>
      <c r="T22" s="0" t="n">
        <v>5.85</v>
      </c>
    </row>
    <row r="23" customFormat="false" ht="18" hidden="false" customHeight="true" outlineLevel="0" collapsed="false">
      <c r="A23" s="10" t="s">
        <v>217</v>
      </c>
      <c r="B23" s="12" t="n">
        <v>1</v>
      </c>
      <c r="C23" s="13" t="n">
        <v>185000</v>
      </c>
      <c r="D23" s="20" t="n">
        <v>0.000336531902314794</v>
      </c>
      <c r="E23" s="13" t="n">
        <v>185000</v>
      </c>
      <c r="F23" s="10" t="s">
        <v>1185</v>
      </c>
      <c r="G23" s="20" t="n">
        <v>0.95</v>
      </c>
      <c r="H23" s="20" t="n">
        <v>0.98</v>
      </c>
      <c r="S23" s="34" t="s">
        <v>1243</v>
      </c>
      <c r="T23" s="0" t="n">
        <v>9.85</v>
      </c>
    </row>
    <row r="24" customFormat="false" ht="15" hidden="false" customHeight="false" outlineLevel="0" collapsed="false">
      <c r="S24" s="0" t="s">
        <v>1244</v>
      </c>
      <c r="T24" s="0" t="n">
        <v>21.25</v>
      </c>
    </row>
    <row r="25" customFormat="false" ht="15" hidden="false" customHeight="false" outlineLevel="0" collapsed="false">
      <c r="S25" s="0" t="s">
        <v>1245</v>
      </c>
      <c r="T25" s="0" t="n">
        <v>6.85</v>
      </c>
    </row>
    <row r="26" customFormat="false" ht="15" hidden="false" customHeight="false" outlineLevel="0" collapsed="false">
      <c r="S26" s="0" t="s">
        <v>1246</v>
      </c>
      <c r="T26" s="0" t="n">
        <v>8.5</v>
      </c>
    </row>
    <row r="27" customFormat="false" ht="15" hidden="false" customHeight="false" outlineLevel="0" collapsed="false">
      <c r="S27" s="0" t="s">
        <v>1247</v>
      </c>
      <c r="T27" s="0" t="n">
        <v>36.85</v>
      </c>
    </row>
    <row r="28" customFormat="false" ht="15" hidden="false" customHeight="false" outlineLevel="0" collapsed="false">
      <c r="S28" s="0" t="s">
        <v>1248</v>
      </c>
      <c r="T28" s="0" t="n">
        <v>48.5</v>
      </c>
    </row>
    <row r="29" customFormat="false" ht="15" hidden="false" customHeight="false" outlineLevel="0" collapsed="false">
      <c r="S29" s="0" t="s">
        <v>1249</v>
      </c>
      <c r="T29" s="0" t="n">
        <v>8.85</v>
      </c>
    </row>
  </sheetData>
  <mergeCells count="15">
    <mergeCell ref="A1:Q1"/>
    <mergeCell ref="A2:Q2"/>
    <mergeCell ref="A4:D4"/>
    <mergeCell ref="E4:H4"/>
    <mergeCell ref="I4:L4"/>
    <mergeCell ref="M4:Q4"/>
    <mergeCell ref="A5:D5"/>
    <mergeCell ref="E5:H5"/>
    <mergeCell ref="I5:L5"/>
    <mergeCell ref="M5:Q5"/>
    <mergeCell ref="A6:D6"/>
    <mergeCell ref="E6:H6"/>
    <mergeCell ref="I6:L6"/>
    <mergeCell ref="M6:Q6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2026-04-23T14:08:43Z</dcterms:created>
  <dc:creator>openpyxl</dc:creator>
  <dc:description/>
  <dc:language>en-US</dc:language>
  <cp:lastModifiedBy/>
  <dcterms:modified xsi:type="dcterms:W3CDTF">2026-04-23T14:08:50Z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