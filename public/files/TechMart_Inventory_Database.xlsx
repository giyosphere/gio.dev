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base" sheetId="1" state="visible" r:id="rId3"/>
    <sheet name="Summary" sheetId="2" state="visible" r:id="rId4"/>
    <sheet name="Dashboard" sheetId="3" state="visible" r:id="rId5"/>
    <sheet name="Reorder Alert" sheetId="4" state="visible" r:id="rId6"/>
  </sheets>
  <definedNames>
    <definedName function="false" hidden="true" localSheetId="0" name="_xlnm._FilterDatabase" vbProcedure="false">'Inventory Database'!$A$3:$O$53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<sst xmlns="http://schemas.openxmlformats.org/spreadsheetml/2006/main" count="395" uniqueCount="228">
  <si>
    <t xml:space="preserve">🏬  PRODUCT INVENTORY DATABASE</t>
  </si>
  <si>
    <t xml:space="preserve">TechMart Philippines Inc.  |  Last Updated: April 23, 2026  |  Managed by: Data Entry Specialist</t>
  </si>
  <si>
    <t xml:space="preserve">Product ID</t>
  </si>
  <si>
    <t xml:space="preserve">Product Name</t>
  </si>
  <si>
    <t xml:space="preserve">Category</t>
  </si>
  <si>
    <t xml:space="preserve">Brand</t>
  </si>
  <si>
    <t xml:space="preserve">Unit</t>
  </si>
  <si>
    <t xml:space="preserve">Unit Cost (₱)</t>
  </si>
  <si>
    <t xml:space="preserve">Selling Price (₱)</t>
  </si>
  <si>
    <t xml:space="preserve">Markup %</t>
  </si>
  <si>
    <t xml:space="preserve">Qty In Stock</t>
  </si>
  <si>
    <t xml:space="preserve">Reorder Level</t>
  </si>
  <si>
    <t xml:space="preserve">Qty Sold (MTD)</t>
  </si>
  <si>
    <t xml:space="preserve">Stock Value (₱)</t>
  </si>
  <si>
    <t xml:space="preserve">Status</t>
  </si>
  <si>
    <t xml:space="preserve">Supplier</t>
  </si>
  <si>
    <t xml:space="preserve">Date Added</t>
  </si>
  <si>
    <t xml:space="preserve">PRD-001</t>
  </si>
  <si>
    <t xml:space="preserve">Mechanical Keyboard RGB</t>
  </si>
  <si>
    <t xml:space="preserve">Peripherals</t>
  </si>
  <si>
    <t xml:space="preserve">Redragon</t>
  </si>
  <si>
    <t xml:space="preserve">pcs</t>
  </si>
  <si>
    <t xml:space="preserve">Tech Solutions PH</t>
  </si>
  <si>
    <t xml:space="preserve">PRD-002</t>
  </si>
  <si>
    <t xml:space="preserve">Wireless Mouse Ergonomic</t>
  </si>
  <si>
    <t xml:space="preserve">Logitech</t>
  </si>
  <si>
    <t xml:space="preserve">Global IT Supply</t>
  </si>
  <si>
    <t xml:space="preserve">PRD-003</t>
  </si>
  <si>
    <t xml:space="preserve">27" FHD Monitor IPS</t>
  </si>
  <si>
    <t xml:space="preserve">Monitors</t>
  </si>
  <si>
    <t xml:space="preserve">Samsung</t>
  </si>
  <si>
    <t xml:space="preserve">Samsung PH Dist.</t>
  </si>
  <si>
    <t xml:space="preserve">PRD-004</t>
  </si>
  <si>
    <t xml:space="preserve">USB-C Hub 7-in-1</t>
  </si>
  <si>
    <t xml:space="preserve">Accessories</t>
  </si>
  <si>
    <t xml:space="preserve">Anker</t>
  </si>
  <si>
    <t xml:space="preserve">Anker Philippines</t>
  </si>
  <si>
    <t xml:space="preserve">PRD-005</t>
  </si>
  <si>
    <t xml:space="preserve">Noise-Cancelling Headset</t>
  </si>
  <si>
    <t xml:space="preserve">Audio</t>
  </si>
  <si>
    <t xml:space="preserve">Sony</t>
  </si>
  <si>
    <t xml:space="preserve">Sony Philippines</t>
  </si>
  <si>
    <t xml:space="preserve">PRD-006</t>
  </si>
  <si>
    <t xml:space="preserve">1TB External SSD</t>
  </si>
  <si>
    <t xml:space="preserve">Storage</t>
  </si>
  <si>
    <t xml:space="preserve">WD</t>
  </si>
  <si>
    <t xml:space="preserve">WD Distributors</t>
  </si>
  <si>
    <t xml:space="preserve">PRD-007</t>
  </si>
  <si>
    <t xml:space="preserve">Webcam 1080p HD</t>
  </si>
  <si>
    <t xml:space="preserve">PRD-008</t>
  </si>
  <si>
    <t xml:space="preserve">Laptop Stand Adjustable</t>
  </si>
  <si>
    <t xml:space="preserve">Ugreen</t>
  </si>
  <si>
    <t xml:space="preserve">Ugreen PH</t>
  </si>
  <si>
    <t xml:space="preserve">PRD-009</t>
  </si>
  <si>
    <t xml:space="preserve">32GB DDR5 RAM</t>
  </si>
  <si>
    <t xml:space="preserve">Components</t>
  </si>
  <si>
    <t xml:space="preserve">Kingston</t>
  </si>
  <si>
    <t xml:space="preserve">Kingston Dist. PH</t>
  </si>
  <si>
    <t xml:space="preserve">PRD-010</t>
  </si>
  <si>
    <t xml:space="preserve">500W Power Supply</t>
  </si>
  <si>
    <t xml:space="preserve">Corsair</t>
  </si>
  <si>
    <t xml:space="preserve">Corsair PH</t>
  </si>
  <si>
    <t xml:space="preserve">PRD-011</t>
  </si>
  <si>
    <t xml:space="preserve">Gaming Chair Ergonomic</t>
  </si>
  <si>
    <t xml:space="preserve">Furniture</t>
  </si>
  <si>
    <t xml:space="preserve">DXRacer</t>
  </si>
  <si>
    <t xml:space="preserve">DXRacer PH</t>
  </si>
  <si>
    <t xml:space="preserve">PRD-012</t>
  </si>
  <si>
    <t xml:space="preserve">Cat6 LAN Cable 10m</t>
  </si>
  <si>
    <t xml:space="preserve">Networking</t>
  </si>
  <si>
    <t xml:space="preserve">TP-Link</t>
  </si>
  <si>
    <t xml:space="preserve">TP-Link Dist. PH</t>
  </si>
  <si>
    <t xml:space="preserve">PRD-013</t>
  </si>
  <si>
    <t xml:space="preserve">WiFi Router AC1200</t>
  </si>
  <si>
    <t xml:space="preserve">PRD-014</t>
  </si>
  <si>
    <t xml:space="preserve">Thermal Paste 5g</t>
  </si>
  <si>
    <t xml:space="preserve">Noctua</t>
  </si>
  <si>
    <t xml:space="preserve">Noctua PH</t>
  </si>
  <si>
    <t xml:space="preserve">PRD-015</t>
  </si>
  <si>
    <t xml:space="preserve">Cable Management Kit</t>
  </si>
  <si>
    <t xml:space="preserve">Velcro</t>
  </si>
  <si>
    <t xml:space="preserve">set</t>
  </si>
  <si>
    <t xml:space="preserve">PRD-016</t>
  </si>
  <si>
    <t xml:space="preserve">120mm Case Fan</t>
  </si>
  <si>
    <t xml:space="preserve">PRD-017</t>
  </si>
  <si>
    <t xml:space="preserve">HDMI Cable 2m</t>
  </si>
  <si>
    <t xml:space="preserve">PRD-018</t>
  </si>
  <si>
    <t xml:space="preserve">Bluetooth Speaker</t>
  </si>
  <si>
    <t xml:space="preserve">JBL</t>
  </si>
  <si>
    <t xml:space="preserve">JBL Philippines</t>
  </si>
  <si>
    <t xml:space="preserve">PRD-019</t>
  </si>
  <si>
    <t xml:space="preserve">Drawing Tablet Medium</t>
  </si>
  <si>
    <t xml:space="preserve">Wacom</t>
  </si>
  <si>
    <t xml:space="preserve">Wacom PH</t>
  </si>
  <si>
    <t xml:space="preserve">PRD-020</t>
  </si>
  <si>
    <t xml:space="preserve">512GB NVMe SSD</t>
  </si>
  <si>
    <t xml:space="preserve">PRD-021</t>
  </si>
  <si>
    <t xml:space="preserve">USB 3.0 Flash Drive 128GB</t>
  </si>
  <si>
    <t xml:space="preserve">Sandisk</t>
  </si>
  <si>
    <t xml:space="preserve">Sandisk PH</t>
  </si>
  <si>
    <t xml:space="preserve">PRD-022</t>
  </si>
  <si>
    <t xml:space="preserve">Surge Protector 6-Outlet</t>
  </si>
  <si>
    <t xml:space="preserve">APC</t>
  </si>
  <si>
    <t xml:space="preserve">APC Philippines</t>
  </si>
  <si>
    <t xml:space="preserve">PRD-023</t>
  </si>
  <si>
    <t xml:space="preserve">Screen Cleaning Kit</t>
  </si>
  <si>
    <t xml:space="preserve">3M</t>
  </si>
  <si>
    <t xml:space="preserve">3M Philippines</t>
  </si>
  <si>
    <t xml:space="preserve">PRD-024</t>
  </si>
  <si>
    <t xml:space="preserve">Wireless Charger 15W</t>
  </si>
  <si>
    <t xml:space="preserve">PRD-025</t>
  </si>
  <si>
    <t xml:space="preserve">CPU Cooler 120mm</t>
  </si>
  <si>
    <t xml:space="preserve">Cooler Master</t>
  </si>
  <si>
    <t xml:space="preserve">CM Distributors</t>
  </si>
  <si>
    <t xml:space="preserve">PRD-026</t>
  </si>
  <si>
    <t xml:space="preserve">ATX Mid Tower Case</t>
  </si>
  <si>
    <t xml:space="preserve">Phanteks</t>
  </si>
  <si>
    <t xml:space="preserve">Phanteks PH</t>
  </si>
  <si>
    <t xml:space="preserve">PRD-027</t>
  </si>
  <si>
    <t xml:space="preserve">Gaming Mousepad XL</t>
  </si>
  <si>
    <t xml:space="preserve">Steelseries</t>
  </si>
  <si>
    <t xml:space="preserve">Steelseries PH</t>
  </si>
  <si>
    <t xml:space="preserve">PRD-028</t>
  </si>
  <si>
    <t xml:space="preserve">Microphone USB Condenser</t>
  </si>
  <si>
    <t xml:space="preserve">Blue Yeti</t>
  </si>
  <si>
    <t xml:space="preserve">Blue Yeti PH</t>
  </si>
  <si>
    <t xml:space="preserve">PRD-029</t>
  </si>
  <si>
    <t xml:space="preserve">Smart UPS 650VA</t>
  </si>
  <si>
    <t xml:space="preserve">PRD-030</t>
  </si>
  <si>
    <t xml:space="preserve">Monitor Arm Single</t>
  </si>
  <si>
    <t xml:space="preserve">Ergotron</t>
  </si>
  <si>
    <t xml:space="preserve">Ergotron PH</t>
  </si>
  <si>
    <t xml:space="preserve">PRD-031</t>
  </si>
  <si>
    <t xml:space="preserve">Antivirus Software 1yr</t>
  </si>
  <si>
    <t xml:space="preserve">Software</t>
  </si>
  <si>
    <t xml:space="preserve">Kaspersky</t>
  </si>
  <si>
    <t xml:space="preserve">lic</t>
  </si>
  <si>
    <t xml:space="preserve">Kaspersky PH</t>
  </si>
  <si>
    <t xml:space="preserve">PRD-032</t>
  </si>
  <si>
    <t xml:space="preserve">Office Chair Basic</t>
  </si>
  <si>
    <t xml:space="preserve">Eurotech</t>
  </si>
  <si>
    <t xml:space="preserve">Eurotech PH</t>
  </si>
  <si>
    <t xml:space="preserve">PRD-033</t>
  </si>
  <si>
    <t xml:space="preserve">Desk Lamp LED</t>
  </si>
  <si>
    <t xml:space="preserve">Philips</t>
  </si>
  <si>
    <t xml:space="preserve">Philips PH</t>
  </si>
  <si>
    <t xml:space="preserve">PRD-034</t>
  </si>
  <si>
    <t xml:space="preserve">Ethernet Switch 8-port</t>
  </si>
  <si>
    <t xml:space="preserve">PRD-035</t>
  </si>
  <si>
    <t xml:space="preserve">Laptop Cooling Pad</t>
  </si>
  <si>
    <t xml:space="preserve">PRD-036</t>
  </si>
  <si>
    <t xml:space="preserve">Type-C to 3.5mm Adapter</t>
  </si>
  <si>
    <t xml:space="preserve">PRD-037</t>
  </si>
  <si>
    <t xml:space="preserve">4K HDMI Cable 2m</t>
  </si>
  <si>
    <t xml:space="preserve">PRD-038</t>
  </si>
  <si>
    <t xml:space="preserve">Wireless Numpad</t>
  </si>
  <si>
    <t xml:space="preserve">Arteck</t>
  </si>
  <si>
    <t xml:space="preserve">Arteck PH</t>
  </si>
  <si>
    <t xml:space="preserve">PRD-039</t>
  </si>
  <si>
    <t xml:space="preserve">Screen Privacy Filter</t>
  </si>
  <si>
    <t xml:space="preserve">PRD-040</t>
  </si>
  <si>
    <t xml:space="preserve">Docking Station USB-C</t>
  </si>
  <si>
    <t xml:space="preserve">PRD-041</t>
  </si>
  <si>
    <t xml:space="preserve">2TB HDD Internal</t>
  </si>
  <si>
    <t xml:space="preserve">Seagate</t>
  </si>
  <si>
    <t xml:space="preserve">Seagate Dist. PH</t>
  </si>
  <si>
    <t xml:space="preserve">PRD-042</t>
  </si>
  <si>
    <t xml:space="preserve">VGA to HDMI Converter</t>
  </si>
  <si>
    <t xml:space="preserve">PRD-043</t>
  </si>
  <si>
    <t xml:space="preserve">Portable Projector</t>
  </si>
  <si>
    <t xml:space="preserve">Display</t>
  </si>
  <si>
    <t xml:space="preserve">Xiaomi</t>
  </si>
  <si>
    <t xml:space="preserve">Xiaomi PH</t>
  </si>
  <si>
    <t xml:space="preserve">PRD-044</t>
  </si>
  <si>
    <t xml:space="preserve">Anti-Static Wrist Strap</t>
  </si>
  <si>
    <t xml:space="preserve">Generic</t>
  </si>
  <si>
    <t xml:space="preserve">PRD-045</t>
  </si>
  <si>
    <t xml:space="preserve">Network Patch Panel 24p</t>
  </si>
  <si>
    <t xml:space="preserve">PRD-046</t>
  </si>
  <si>
    <t xml:space="preserve">USB-A to USB-C Cable 1m</t>
  </si>
  <si>
    <t xml:space="preserve">PRD-047</t>
  </si>
  <si>
    <t xml:space="preserve">Graphic Card RTX 4060</t>
  </si>
  <si>
    <t xml:space="preserve">NVIDIA</t>
  </si>
  <si>
    <t xml:space="preserve">NVIDIA Dist. PH</t>
  </si>
  <si>
    <t xml:space="preserve">PRD-048</t>
  </si>
  <si>
    <t xml:space="preserve">Motherboard ATX B650</t>
  </si>
  <si>
    <t xml:space="preserve">ASUS</t>
  </si>
  <si>
    <t xml:space="preserve">ASUS PH</t>
  </si>
  <si>
    <t xml:space="preserve">PRD-049</t>
  </si>
  <si>
    <t xml:space="preserve">Mechanical Switch Tester</t>
  </si>
  <si>
    <t xml:space="preserve">Gateron</t>
  </si>
  <si>
    <t xml:space="preserve">Gateron PH</t>
  </si>
  <si>
    <t xml:space="preserve">PRD-050</t>
  </si>
  <si>
    <t xml:space="preserve">Label Maker</t>
  </si>
  <si>
    <t xml:space="preserve">Office</t>
  </si>
  <si>
    <t xml:space="preserve">Brother</t>
  </si>
  <si>
    <t xml:space="preserve">Brother PH</t>
  </si>
  <si>
    <t xml:space="preserve">TOTALS</t>
  </si>
  <si>
    <t xml:space="preserve">📊  INVENTORY SUMMARY &amp; KPI REPORT</t>
  </si>
  <si>
    <t xml:space="preserve">TechMart Philippines Inc.  ·  Reporting Period: April 2026</t>
  </si>
  <si>
    <t xml:space="preserve">TOTAL PRODUCTS</t>
  </si>
  <si>
    <t xml:space="preserve">TOTAL STOCK VALUE</t>
  </si>
  <si>
    <t xml:space="preserve">LOW STOCK ALERTS</t>
  </si>
  <si>
    <t xml:space="preserve">OUT OF STOCK</t>
  </si>
  <si>
    <t xml:space="preserve">SKUs in Database</t>
  </si>
  <si>
    <t xml:space="preserve">Total Inventory Worth</t>
  </si>
  <si>
    <t xml:space="preserve">Items Need Reorder</t>
  </si>
  <si>
    <t xml:space="preserve">Critical — Act Now</t>
  </si>
  <si>
    <t xml:space="preserve">📦  STOCK BY CATEGORY</t>
  </si>
  <si>
    <t xml:space="preserve">🏭  TOP SUPPLIERS BY STOCK VALUE</t>
  </si>
  <si>
    <t xml:space="preserve"># SKUs</t>
  </si>
  <si>
    <t xml:space="preserve">Total Qty</t>
  </si>
  <si>
    <t xml:space="preserve">Total Value (₱)</t>
  </si>
  <si>
    <t xml:space="preserve">Avg Price (₱)</t>
  </si>
  <si>
    <t xml:space="preserve">% of Value</t>
  </si>
  <si>
    <t xml:space="preserve">Avg Markup %</t>
  </si>
  <si>
    <t xml:space="preserve">GRAND TOTAL</t>
  </si>
  <si>
    <t xml:space="preserve">100.0%</t>
  </si>
  <si>
    <t xml:space="preserve">📈  INVENTORY DASHBOARD</t>
  </si>
  <si>
    <t xml:space="preserve">Stock Value</t>
  </si>
  <si>
    <t xml:space="preserve">Visual Analytics  ·  TechMart Philippines Inc.  ·  April 2026</t>
  </si>
  <si>
    <t xml:space="preserve">Count</t>
  </si>
  <si>
    <t xml:space="preserve">In Stock</t>
  </si>
  <si>
    <t xml:space="preserve">Low Stock</t>
  </si>
  <si>
    <t xml:space="preserve">Out of Stock</t>
  </si>
  <si>
    <t xml:space="preserve">🚨  REORDER ALERT LIST</t>
  </si>
  <si>
    <t xml:space="preserve">Products that are Out of Stock or Below Reorder Level</t>
  </si>
  <si>
    <t xml:space="preserve">Shortage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</si>
</sst>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₱#,##0.00"/>
    <numFmt numFmtId="166" formatCode="0.0\%"/>
    <numFmt numFmtId="167" formatCode="yyyy\-mm\-dd"/>
    <numFmt numFmtId="168" formatCode="General"/>
    <numFmt numFmtId="169" formatCode="\₱#,##0"/>
    <numFmt numFmtId="170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6E4F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D3D3D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D3D3D"/>
      </patternFill>
    </fill>
    <fill>
      <patternFill patternType="solid">
        <fgColor rgb="FF2E5090"/>
        <bgColor rgb="FF4672A8"/>
      </patternFill>
    </fill>
    <fill>
      <patternFill patternType="solid">
        <fgColor rgb="FF4472C4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EBF4FB"/>
        <bgColor rgb="FFF9F9F9"/>
      </patternFill>
    </fill>
    <fill>
      <patternFill patternType="solid">
        <fgColor rgb="FF217346"/>
        <bgColor rgb="FF008000"/>
      </patternFill>
    </fill>
    <fill>
      <patternFill patternType="solid">
        <fgColor rgb="FFC55A11"/>
        <bgColor rgb="FFAB4744"/>
      </patternFill>
    </fill>
    <fill>
      <patternFill patternType="solid">
        <fgColor rgb="FFC00000"/>
        <bgColor rgb="FFFF0000"/>
      </patternFill>
    </fill>
    <fill>
      <patternFill patternType="solid">
        <fgColor rgb="FFFFE7E7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2E509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EBF4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D3D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AA64F"/>
      <rgbColor rgb="FF800080"/>
      <rgbColor rgb="FF217346"/>
      <rgbColor rgb="FFB8CD97"/>
      <rgbColor rgb="FF878787"/>
      <rgbColor rgb="FF93A9CE"/>
      <rgbColor rgb="FFAB4744"/>
      <rgbColor rgb="FFF9F9F9"/>
      <rgbColor rgb="FFEBF4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6E4F0"/>
      <rgbColor rgb="FFDCDCDC"/>
      <rgbColor rgb="FFFFE7E7"/>
      <rgbColor rgb="FF92C3D5"/>
      <rgbColor rgb="FFD09493"/>
      <rgbColor rgb="FFCC99FF"/>
      <rgbColor rgb="FFFFCC99"/>
      <rgbColor rgb="FF4472C4"/>
      <rgbColor rgb="FF33CCCC"/>
      <rgbColor rgb="FF99CC00"/>
      <rgbColor rgb="FFFFC000"/>
      <rgbColor rgb="FFFF9900"/>
      <rgbColor rgb="FFC55A11"/>
      <rgbColor rgb="FF725990"/>
      <rgbColor rgb="FFA99BBD"/>
      <rgbColor rgb="FF1B2A4A"/>
      <rgbColor rgb="FF4299B0"/>
      <rgbColor rgb="FF003300"/>
      <rgbColor rgb="FF333300"/>
      <rgbColor rgb="FF993300"/>
      <rgbColor rgb="FF993366"/>
      <rgbColor rgb="FF2E5090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Stock Value by Category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Dashboard!S1</c:f>
              <c:strCache>
                <c:ptCount val="1"/>
                <c:pt idx="0">
                  <c:v>Stock Value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Dashboard!$R$2:$R$12</c:f>
              <c:strCache>
                <c:ptCount val="11"/>
                <c:pt idx="0">
                  <c:v>Peripherals</c:v>
                </c:pt>
                <c:pt idx="1">
                  <c:v>Monitors</c:v>
                </c:pt>
                <c:pt idx="2">
                  <c:v>Accessories</c:v>
                </c:pt>
                <c:pt idx="3">
                  <c:v>Audio</c:v>
                </c:pt>
                <c:pt idx="4">
                  <c:v>Storage</c:v>
                </c:pt>
                <c:pt idx="5">
                  <c:v>Components</c:v>
                </c:pt>
                <c:pt idx="6">
                  <c:v>Networking</c:v>
                </c:pt>
                <c:pt idx="7">
                  <c:v>Furniture</c:v>
                </c:pt>
                <c:pt idx="8">
                  <c:v>Software</c:v>
                </c:pt>
                <c:pt idx="9">
                  <c:v>Display</c:v>
                </c:pt>
                <c:pt idx="10">
                  <c:v>Office</c:v>
                </c:pt>
              </c:strCache>
            </c:strRef>
          </c:cat>
          <c:val>
            <c:numRef>
              <c:f>Dashboard!$S$2:$S$12</c:f>
              <c:numCache>
                <c:formatCode>\₱#,##0.00</c:formatCode>
                <c:ptCount val="11"/>
                <c:pt idx="0">
                  <c:v>894780</c:v>
                </c:pt>
                <c:pt idx="1">
                  <c:v>552500</c:v>
                </c:pt>
                <c:pt idx="2">
                  <c:v>1342010</c:v>
                </c:pt>
                <c:pt idx="3">
                  <c:v>938400</c:v>
                </c:pt>
                <c:pt idx="4">
                  <c:v>642320</c:v>
                </c:pt>
                <c:pt idx="5">
                  <c:v>2914575</c:v>
                </c:pt>
                <c:pt idx="6">
                  <c:v>370465</c:v>
                </c:pt>
                <c:pt idx="7">
                  <c:v>1101500</c:v>
                </c:pt>
                <c:pt idx="8">
                  <c:v>41800</c:v>
                </c:pt>
                <c:pt idx="9">
                  <c:v>712000</c:v>
                </c:pt>
                <c:pt idx="10">
                  <c:v>110400</c:v>
                </c:pt>
              </c:numCache>
            </c:numRef>
          </c:val>
        </c:ser>
        <c:gapWidth val="150"/>
        <c:overlap val="0"/>
        <c:axId val="57258732"/>
        <c:axId val="59918081"/>
      </c:barChart>
      <c:catAx>
        <c:axId val="57258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18081"/>
        <c:crosses val="autoZero"/>
        <c:auto val="1"/>
        <c:lblAlgn val="ctr"/>
        <c:lblOffset val="100"/>
        <c:noMultiLvlLbl val="0"/>
      </c:catAx>
      <c:valAx>
        <c:axId val="59918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 Value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58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Value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Dashboard!S1</c:f>
              <c:strCache>
                <c:ptCount val="1"/>
                <c:pt idx="0">
                  <c:v>Stock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Dashboard!$R$2:$R$12</c:f>
              <c:strCache>
                <c:ptCount val="11"/>
                <c:pt idx="0">
                  <c:v>Peripherals</c:v>
                </c:pt>
                <c:pt idx="1">
                  <c:v>Monitors</c:v>
                </c:pt>
                <c:pt idx="2">
                  <c:v>Accessories</c:v>
                </c:pt>
                <c:pt idx="3">
                  <c:v>Audio</c:v>
                </c:pt>
                <c:pt idx="4">
                  <c:v>Storage</c:v>
                </c:pt>
                <c:pt idx="5">
                  <c:v>Components</c:v>
                </c:pt>
                <c:pt idx="6">
                  <c:v>Networking</c:v>
                </c:pt>
                <c:pt idx="7">
                  <c:v>Furniture</c:v>
                </c:pt>
                <c:pt idx="8">
                  <c:v>Software</c:v>
                </c:pt>
                <c:pt idx="9">
                  <c:v>Display</c:v>
                </c:pt>
                <c:pt idx="10">
                  <c:v>Office</c:v>
                </c:pt>
              </c:strCache>
            </c:strRef>
          </c:cat>
          <c:val>
            <c:numRef>
              <c:f>Dashboard!$S$2:$S$12</c:f>
              <c:numCache>
                <c:formatCode>\₱#,##0.00</c:formatCode>
                <c:ptCount val="11"/>
                <c:pt idx="0">
                  <c:v>894780</c:v>
                </c:pt>
                <c:pt idx="1">
                  <c:v>552500</c:v>
                </c:pt>
                <c:pt idx="2">
                  <c:v>1342010</c:v>
                </c:pt>
                <c:pt idx="3">
                  <c:v>938400</c:v>
                </c:pt>
                <c:pt idx="4">
                  <c:v>642320</c:v>
                </c:pt>
                <c:pt idx="5">
                  <c:v>2914575</c:v>
                </c:pt>
                <c:pt idx="6">
                  <c:v>370465</c:v>
                </c:pt>
                <c:pt idx="7">
                  <c:v>1101500</c:v>
                </c:pt>
                <c:pt idx="8">
                  <c:v>41800</c:v>
                </c:pt>
                <c:pt idx="9">
                  <c:v>712000</c:v>
                </c:pt>
                <c:pt idx="10">
                  <c:v>110400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Quantity In Stock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Dashboard!T1</c:f>
              <c:strCache>
                <c:ptCount val="1"/>
                <c:pt idx="0">
                  <c:v>Qty In Stock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Dashboard!$R$2:$R$12</c:f>
              <c:strCache>
                <c:ptCount val="11"/>
                <c:pt idx="0">
                  <c:v>Peripherals</c:v>
                </c:pt>
                <c:pt idx="1">
                  <c:v>Monitors</c:v>
                </c:pt>
                <c:pt idx="2">
                  <c:v>Accessories</c:v>
                </c:pt>
                <c:pt idx="3">
                  <c:v>Audio</c:v>
                </c:pt>
                <c:pt idx="4">
                  <c:v>Storage</c:v>
                </c:pt>
                <c:pt idx="5">
                  <c:v>Components</c:v>
                </c:pt>
                <c:pt idx="6">
                  <c:v>Networking</c:v>
                </c:pt>
                <c:pt idx="7">
                  <c:v>Furniture</c:v>
                </c:pt>
                <c:pt idx="8">
                  <c:v>Software</c:v>
                </c:pt>
                <c:pt idx="9">
                  <c:v>Display</c:v>
                </c:pt>
                <c:pt idx="10">
                  <c:v>Office</c:v>
                </c:pt>
              </c:strCache>
            </c:strRef>
          </c:cat>
          <c:val>
            <c:numRef>
              <c:f>Dashboard!$T$2:$T$12</c:f>
              <c:numCache>
                <c:formatCode>General</c:formatCode>
                <c:ptCount val="11"/>
                <c:pt idx="0">
                  <c:v>615</c:v>
                </c:pt>
                <c:pt idx="1">
                  <c:v>65</c:v>
                </c:pt>
                <c:pt idx="2">
                  <c:v>1786</c:v>
                </c:pt>
                <c:pt idx="3">
                  <c:v>256</c:v>
                </c:pt>
                <c:pt idx="4">
                  <c:v>332</c:v>
                </c:pt>
                <c:pt idx="5">
                  <c:v>686</c:v>
                </c:pt>
                <c:pt idx="6">
                  <c:v>371</c:v>
                </c:pt>
                <c:pt idx="7">
                  <c:v>157</c:v>
                </c:pt>
                <c:pt idx="8">
                  <c:v>110</c:v>
                </c:pt>
                <c:pt idx="9">
                  <c:v>80</c:v>
                </c:pt>
                <c:pt idx="10">
                  <c:v>92</c:v>
                </c:pt>
              </c:numCache>
            </c:numRef>
          </c:val>
        </c:ser>
        <c:gapWidth val="150"/>
        <c:overlap val="0"/>
        <c:axId val="33950314"/>
        <c:axId val="21793891"/>
      </c:barChart>
      <c:catAx>
        <c:axId val="3395031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Qty In 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93891"/>
        <c:crosses val="autoZero"/>
        <c:auto val="1"/>
        <c:lblAlgn val="ctr"/>
        <c:lblOffset val="100"/>
        <c:noMultiLvlLbl val="0"/>
      </c:catAx>
      <c:valAx>
        <c:axId val="21793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50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Dashboard!S14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Dashboard!$R$15:$R$17</c:f>
              <c:strCache>
                <c:ptCount val="3"/>
                <c:pt idx="0">
                  <c:v>In Stock</c:v>
                </c:pt>
                <c:pt idx="1">
                  <c:v>Low Stock</c:v>
                </c:pt>
                <c:pt idx="2">
                  <c:v>Out of Stock</c:v>
                </c:pt>
              </c:strCache>
            </c:strRef>
          </c:cat>
          <c:val>
            <c:numRef>
              <c:f>Dashboard!$S$15:$S$17</c:f>
              <c:numCache>
                <c:formatCode>General</c:formatCode>
                <c:ptCount val="3"/>
                <c:pt idx="0">
                  <c:v>50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433080</xdr:colOff>
      <xdr:row>27</xdr:row>
      <xdr:rowOff>107640</xdr:rowOff>
    </xdr:to>
    <xdr:graphicFrame>
      <xdr:nvGraphicFramePr>
        <xdr:cNvPr id="0" name="Chart 1"/>
        <xdr:cNvGraphicFramePr/>
      </xdr:nvGraphicFramePr>
      <xdr:xfrm>
        <a:off x="0" y="99072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19</xdr:col>
      <xdr:colOff>541800</xdr:colOff>
      <xdr:row>27</xdr:row>
      <xdr:rowOff>107640</xdr:rowOff>
    </xdr:to>
    <xdr:graphicFrame>
      <xdr:nvGraphicFramePr>
        <xdr:cNvPr id="1" name="Chart 2"/>
        <xdr:cNvGraphicFramePr/>
      </xdr:nvGraphicFramePr>
      <xdr:xfrm>
        <a:off x="5638680" y="99072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433080</xdr:colOff>
      <xdr:row>49</xdr:row>
      <xdr:rowOff>107640</xdr:rowOff>
    </xdr:to>
    <xdr:graphicFrame>
      <xdr:nvGraphicFramePr>
        <xdr:cNvPr id="2" name="Chart 3"/>
        <xdr:cNvGraphicFramePr/>
      </xdr:nvGraphicFramePr>
      <xdr:xfrm>
        <a:off x="0" y="51814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19</xdr:col>
      <xdr:colOff>541800</xdr:colOff>
      <xdr:row>49</xdr:row>
      <xdr:rowOff>107640</xdr:rowOff>
    </xdr:to>
    <xdr:graphicFrame>
      <xdr:nvGraphicFramePr>
        <xdr:cNvPr id="3" name="Chart 4"/>
        <xdr:cNvGraphicFramePr/>
      </xdr:nvGraphicFramePr>
      <xdr:xfrm>
        <a:off x="5638680" y="51814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O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8" hidden="false" customHeight="true" outlineLevel="0" collapsed="false">
      <c r="A4" s="4" t="s">
        <v>17</v>
      </c>
      <c r="B4" s="5" t="s">
        <v>18</v>
      </c>
      <c r="C4" s="4" t="s">
        <v>19</v>
      </c>
      <c r="D4" s="4" t="s">
        <v>20</v>
      </c>
      <c r="E4" s="4" t="s">
        <v>21</v>
      </c>
      <c r="F4" s="6" t="n">
        <v>1200</v>
      </c>
      <c r="G4" s="6" t="n">
        <v>2199</v>
      </c>
      <c r="H4" s="7" t="n">
        <f aca="false">ROUND((G4-F4)/F4*100,1)</f>
        <v>83.3</v>
      </c>
      <c r="I4" s="4" t="n">
        <v>85</v>
      </c>
      <c r="J4" s="4" t="n">
        <v>12</v>
      </c>
      <c r="K4" s="4" t="n">
        <v>5</v>
      </c>
      <c r="L4" s="6" t="n">
        <f aca="false">F4*I4</f>
        <v>102000</v>
      </c>
      <c r="M4" s="4" t="str">
        <f aca="false">IF(I4=0,"❌ Out of Stock",IF(I4&lt;=J4,"⚠ Low Stock","✅ In Stock"))</f>
        <v>✅ In Stock</v>
      </c>
      <c r="N4" s="5" t="s">
        <v>22</v>
      </c>
      <c r="O4" s="8" t="n">
        <v>45301</v>
      </c>
    </row>
    <row r="5" customFormat="false" ht="18" hidden="false" customHeight="true" outlineLevel="0" collapsed="false">
      <c r="A5" s="9" t="s">
        <v>23</v>
      </c>
      <c r="B5" s="10" t="s">
        <v>24</v>
      </c>
      <c r="C5" s="9" t="s">
        <v>19</v>
      </c>
      <c r="D5" s="9" t="s">
        <v>25</v>
      </c>
      <c r="E5" s="9" t="s">
        <v>21</v>
      </c>
      <c r="F5" s="11" t="n">
        <v>980</v>
      </c>
      <c r="G5" s="11" t="n">
        <v>1799</v>
      </c>
      <c r="H5" s="12" t="n">
        <f aca="false">ROUND((G5-F5)/F5*100,1)</f>
        <v>83.6</v>
      </c>
      <c r="I5" s="9" t="n">
        <v>84</v>
      </c>
      <c r="J5" s="9" t="n">
        <v>20</v>
      </c>
      <c r="K5" s="9" t="n">
        <v>11</v>
      </c>
      <c r="L5" s="11" t="n">
        <f aca="false">F5*I5</f>
        <v>82320</v>
      </c>
      <c r="M5" s="9" t="str">
        <f aca="false">IF(I5=0,"❌ Out of Stock",IF(I5&lt;=J5,"⚠ Low Stock","✅ In Stock"))</f>
        <v>✅ In Stock</v>
      </c>
      <c r="N5" s="10" t="s">
        <v>26</v>
      </c>
      <c r="O5" s="13" t="n">
        <v>45301</v>
      </c>
    </row>
    <row r="6" customFormat="false" ht="18" hidden="false" customHeight="true" outlineLevel="0" collapsed="false">
      <c r="A6" s="4" t="s">
        <v>27</v>
      </c>
      <c r="B6" s="5" t="s">
        <v>28</v>
      </c>
      <c r="C6" s="4" t="s">
        <v>29</v>
      </c>
      <c r="D6" s="4" t="s">
        <v>30</v>
      </c>
      <c r="E6" s="4" t="s">
        <v>21</v>
      </c>
      <c r="F6" s="6" t="n">
        <v>8500</v>
      </c>
      <c r="G6" s="6" t="n">
        <v>13995</v>
      </c>
      <c r="H6" s="7" t="n">
        <f aca="false">ROUND((G6-F6)/F6*100,1)</f>
        <v>64.6</v>
      </c>
      <c r="I6" s="4" t="n">
        <v>65</v>
      </c>
      <c r="J6" s="4" t="n">
        <v>6</v>
      </c>
      <c r="K6" s="4" t="n">
        <v>3</v>
      </c>
      <c r="L6" s="6" t="n">
        <f aca="false">F6*I6</f>
        <v>552500</v>
      </c>
      <c r="M6" s="4" t="str">
        <f aca="false">IF(I6=0,"❌ Out of Stock",IF(I6&lt;=J6,"⚠ Low Stock","✅ In Stock"))</f>
        <v>✅ In Stock</v>
      </c>
      <c r="N6" s="5" t="s">
        <v>31</v>
      </c>
      <c r="O6" s="8" t="n">
        <v>45306</v>
      </c>
    </row>
    <row r="7" customFormat="false" ht="18" hidden="false" customHeight="true" outlineLevel="0" collapsed="false">
      <c r="A7" s="9" t="s">
        <v>32</v>
      </c>
      <c r="B7" s="10" t="s">
        <v>33</v>
      </c>
      <c r="C7" s="9" t="s">
        <v>34</v>
      </c>
      <c r="D7" s="9" t="s">
        <v>35</v>
      </c>
      <c r="E7" s="9" t="s">
        <v>21</v>
      </c>
      <c r="F7" s="11" t="n">
        <v>650</v>
      </c>
      <c r="G7" s="11" t="n">
        <v>1299</v>
      </c>
      <c r="H7" s="12" t="n">
        <f aca="false">ROUND((G7-F7)/F7*100,1)</f>
        <v>99.8</v>
      </c>
      <c r="I7" s="9" t="n">
        <v>100</v>
      </c>
      <c r="J7" s="9" t="n">
        <v>30</v>
      </c>
      <c r="K7" s="9" t="n">
        <v>18</v>
      </c>
      <c r="L7" s="11" t="n">
        <f aca="false">F7*I7</f>
        <v>65000</v>
      </c>
      <c r="M7" s="9" t="str">
        <f aca="false">IF(I7=0,"❌ Out of Stock",IF(I7&lt;=J7,"⚠ Low Stock","✅ In Stock"))</f>
        <v>✅ In Stock</v>
      </c>
      <c r="N7" s="10" t="s">
        <v>36</v>
      </c>
      <c r="O7" s="13" t="n">
        <v>45306</v>
      </c>
    </row>
    <row r="8" customFormat="false" ht="18" hidden="false" customHeight="true" outlineLevel="0" collapsed="false">
      <c r="A8" s="4" t="s">
        <v>37</v>
      </c>
      <c r="B8" s="5" t="s">
        <v>38</v>
      </c>
      <c r="C8" s="4" t="s">
        <v>39</v>
      </c>
      <c r="D8" s="4" t="s">
        <v>40</v>
      </c>
      <c r="E8" s="4" t="s">
        <v>21</v>
      </c>
      <c r="F8" s="6" t="n">
        <v>4200</v>
      </c>
      <c r="G8" s="6" t="n">
        <v>7499</v>
      </c>
      <c r="H8" s="7" t="n">
        <f aca="false">ROUND((G8-F8)/F8*100,1)</f>
        <v>78.5</v>
      </c>
      <c r="I8" s="4" t="n">
        <v>79</v>
      </c>
      <c r="J8" s="4" t="n">
        <v>9</v>
      </c>
      <c r="K8" s="4" t="n">
        <v>4</v>
      </c>
      <c r="L8" s="6" t="n">
        <f aca="false">F8*I8</f>
        <v>331800</v>
      </c>
      <c r="M8" s="4" t="str">
        <f aca="false">IF(I8=0,"❌ Out of Stock",IF(I8&lt;=J8,"⚠ Low Stock","✅ In Stock"))</f>
        <v>✅ In Stock</v>
      </c>
      <c r="N8" s="5" t="s">
        <v>41</v>
      </c>
      <c r="O8" s="8" t="n">
        <v>45311</v>
      </c>
    </row>
    <row r="9" customFormat="false" ht="18" hidden="false" customHeight="true" outlineLevel="0" collapsed="false">
      <c r="A9" s="9" t="s">
        <v>42</v>
      </c>
      <c r="B9" s="10" t="s">
        <v>43</v>
      </c>
      <c r="C9" s="9" t="s">
        <v>44</v>
      </c>
      <c r="D9" s="9" t="s">
        <v>45</v>
      </c>
      <c r="E9" s="9" t="s">
        <v>21</v>
      </c>
      <c r="F9" s="11" t="n">
        <v>2800</v>
      </c>
      <c r="G9" s="11" t="n">
        <v>4999</v>
      </c>
      <c r="H9" s="12" t="n">
        <f aca="false">ROUND((G9-F9)/F9*100,1)</f>
        <v>78.5</v>
      </c>
      <c r="I9" s="9" t="n">
        <v>79</v>
      </c>
      <c r="J9" s="9" t="n">
        <v>15</v>
      </c>
      <c r="K9" s="9" t="n">
        <v>7</v>
      </c>
      <c r="L9" s="11" t="n">
        <f aca="false">F9*I9</f>
        <v>221200</v>
      </c>
      <c r="M9" s="9" t="str">
        <f aca="false">IF(I9=0,"❌ Out of Stock",IF(I9&lt;=J9,"⚠ Low Stock","✅ In Stock"))</f>
        <v>✅ In Stock</v>
      </c>
      <c r="N9" s="10" t="s">
        <v>46</v>
      </c>
      <c r="O9" s="13" t="n">
        <v>45311</v>
      </c>
    </row>
    <row r="10" customFormat="false" ht="18" hidden="false" customHeight="true" outlineLevel="0" collapsed="false">
      <c r="A10" s="4" t="s">
        <v>47</v>
      </c>
      <c r="B10" s="5" t="s">
        <v>48</v>
      </c>
      <c r="C10" s="4" t="s">
        <v>19</v>
      </c>
      <c r="D10" s="4" t="s">
        <v>25</v>
      </c>
      <c r="E10" s="4" t="s">
        <v>21</v>
      </c>
      <c r="F10" s="6" t="n">
        <v>1500</v>
      </c>
      <c r="G10" s="6" t="n">
        <v>2799</v>
      </c>
      <c r="H10" s="7" t="n">
        <f aca="false">ROUND((G10-F10)/F10*100,1)</f>
        <v>86.6</v>
      </c>
      <c r="I10" s="4" t="n">
        <v>87</v>
      </c>
      <c r="J10" s="4" t="n">
        <v>12</v>
      </c>
      <c r="K10" s="4" t="n">
        <v>9</v>
      </c>
      <c r="L10" s="6" t="n">
        <f aca="false">F10*I10</f>
        <v>130500</v>
      </c>
      <c r="M10" s="4" t="str">
        <f aca="false">IF(I10=0,"❌ Out of Stock",IF(I10&lt;=J10,"⚠ Low Stock","✅ In Stock"))</f>
        <v>✅ In Stock</v>
      </c>
      <c r="N10" s="5" t="s">
        <v>26</v>
      </c>
      <c r="O10" s="8" t="n">
        <v>45323</v>
      </c>
    </row>
    <row r="11" customFormat="false" ht="18" hidden="false" customHeight="true" outlineLevel="0" collapsed="false">
      <c r="A11" s="9" t="s">
        <v>49</v>
      </c>
      <c r="B11" s="10" t="s">
        <v>50</v>
      </c>
      <c r="C11" s="9" t="s">
        <v>34</v>
      </c>
      <c r="D11" s="9" t="s">
        <v>51</v>
      </c>
      <c r="E11" s="9" t="s">
        <v>21</v>
      </c>
      <c r="F11" s="11" t="n">
        <v>420</v>
      </c>
      <c r="G11" s="11" t="n">
        <v>899</v>
      </c>
      <c r="H11" s="12" t="n">
        <f aca="false">ROUND((G11-F11)/F11*100,1)</f>
        <v>114</v>
      </c>
      <c r="I11" s="9" t="n">
        <v>114</v>
      </c>
      <c r="J11" s="9" t="n">
        <v>25</v>
      </c>
      <c r="K11" s="9" t="n">
        <v>14</v>
      </c>
      <c r="L11" s="11" t="n">
        <f aca="false">F11*I11</f>
        <v>47880</v>
      </c>
      <c r="M11" s="9" t="str">
        <f aca="false">IF(I11=0,"❌ Out of Stock",IF(I11&lt;=J11,"⚠ Low Stock","✅ In Stock"))</f>
        <v>✅ In Stock</v>
      </c>
      <c r="N11" s="10" t="s">
        <v>52</v>
      </c>
      <c r="O11" s="13" t="n">
        <v>45323</v>
      </c>
    </row>
    <row r="12" customFormat="false" ht="18" hidden="false" customHeight="true" outlineLevel="0" collapsed="false">
      <c r="A12" s="4" t="s">
        <v>53</v>
      </c>
      <c r="B12" s="5" t="s">
        <v>54</v>
      </c>
      <c r="C12" s="4" t="s">
        <v>55</v>
      </c>
      <c r="D12" s="4" t="s">
        <v>56</v>
      </c>
      <c r="E12" s="4" t="s">
        <v>21</v>
      </c>
      <c r="F12" s="6" t="n">
        <v>3100</v>
      </c>
      <c r="G12" s="6" t="n">
        <v>5499</v>
      </c>
      <c r="H12" s="7" t="n">
        <f aca="false">ROUND((G12-F12)/F12*100,1)</f>
        <v>77.4</v>
      </c>
      <c r="I12" s="4" t="n">
        <v>77</v>
      </c>
      <c r="J12" s="4" t="n">
        <v>10</v>
      </c>
      <c r="K12" s="4" t="n">
        <v>5</v>
      </c>
      <c r="L12" s="6" t="n">
        <f aca="false">F12*I12</f>
        <v>238700</v>
      </c>
      <c r="M12" s="4" t="str">
        <f aca="false">IF(I12=0,"❌ Out of Stock",IF(I12&lt;=J12,"⚠ Low Stock","✅ In Stock"))</f>
        <v>✅ In Stock</v>
      </c>
      <c r="N12" s="5" t="s">
        <v>57</v>
      </c>
      <c r="O12" s="8" t="n">
        <v>45327</v>
      </c>
    </row>
    <row r="13" customFormat="false" ht="18" hidden="false" customHeight="true" outlineLevel="0" collapsed="false">
      <c r="A13" s="9" t="s">
        <v>58</v>
      </c>
      <c r="B13" s="10" t="s">
        <v>59</v>
      </c>
      <c r="C13" s="9" t="s">
        <v>55</v>
      </c>
      <c r="D13" s="9" t="s">
        <v>60</v>
      </c>
      <c r="E13" s="9" t="s">
        <v>21</v>
      </c>
      <c r="F13" s="11" t="n">
        <v>1800</v>
      </c>
      <c r="G13" s="11" t="n">
        <v>3299</v>
      </c>
      <c r="H13" s="12" t="n">
        <f aca="false">ROUND((G13-F13)/F13*100,1)</f>
        <v>83.3</v>
      </c>
      <c r="I13" s="9" t="n">
        <v>83</v>
      </c>
      <c r="J13" s="9" t="n">
        <v>8</v>
      </c>
      <c r="K13" s="9" t="n">
        <v>3</v>
      </c>
      <c r="L13" s="11" t="n">
        <f aca="false">F13*I13</f>
        <v>149400</v>
      </c>
      <c r="M13" s="9" t="str">
        <f aca="false">IF(I13=0,"❌ Out of Stock",IF(I13&lt;=J13,"⚠ Low Stock","✅ In Stock"))</f>
        <v>✅ In Stock</v>
      </c>
      <c r="N13" s="10" t="s">
        <v>61</v>
      </c>
      <c r="O13" s="13" t="n">
        <v>45327</v>
      </c>
    </row>
    <row r="14" customFormat="false" ht="18" hidden="false" customHeight="true" outlineLevel="0" collapsed="false">
      <c r="A14" s="4" t="s">
        <v>62</v>
      </c>
      <c r="B14" s="5" t="s">
        <v>63</v>
      </c>
      <c r="C14" s="4" t="s">
        <v>64</v>
      </c>
      <c r="D14" s="4" t="s">
        <v>65</v>
      </c>
      <c r="E14" s="4" t="s">
        <v>21</v>
      </c>
      <c r="F14" s="6" t="n">
        <v>9500</v>
      </c>
      <c r="G14" s="6" t="n">
        <v>16999</v>
      </c>
      <c r="H14" s="7" t="n">
        <f aca="false">ROUND((G14-F14)/F14*100,1)</f>
        <v>78.9</v>
      </c>
      <c r="I14" s="4" t="n">
        <v>79</v>
      </c>
      <c r="J14" s="4" t="n">
        <v>4</v>
      </c>
      <c r="K14" s="4" t="n">
        <v>2</v>
      </c>
      <c r="L14" s="6" t="n">
        <f aca="false">F14*I14</f>
        <v>750500</v>
      </c>
      <c r="M14" s="4" t="str">
        <f aca="false">IF(I14=0,"❌ Out of Stock",IF(I14&lt;=J14,"⚠ Low Stock","✅ In Stock"))</f>
        <v>✅ In Stock</v>
      </c>
      <c r="N14" s="5" t="s">
        <v>66</v>
      </c>
      <c r="O14" s="8" t="n">
        <v>45332</v>
      </c>
    </row>
    <row r="15" customFormat="false" ht="18" hidden="false" customHeight="true" outlineLevel="0" collapsed="false">
      <c r="A15" s="9" t="s">
        <v>67</v>
      </c>
      <c r="B15" s="10" t="s">
        <v>68</v>
      </c>
      <c r="C15" s="9" t="s">
        <v>69</v>
      </c>
      <c r="D15" s="9" t="s">
        <v>70</v>
      </c>
      <c r="E15" s="9" t="s">
        <v>21</v>
      </c>
      <c r="F15" s="11" t="n">
        <v>185</v>
      </c>
      <c r="G15" s="11" t="n">
        <v>349</v>
      </c>
      <c r="H15" s="12" t="n">
        <f aca="false">ROUND((G15-F15)/F15*100,1)</f>
        <v>88.6</v>
      </c>
      <c r="I15" s="9" t="n">
        <v>89</v>
      </c>
      <c r="J15" s="9" t="n">
        <v>50</v>
      </c>
      <c r="K15" s="9" t="n">
        <v>29</v>
      </c>
      <c r="L15" s="11" t="n">
        <f aca="false">F15*I15</f>
        <v>16465</v>
      </c>
      <c r="M15" s="9" t="str">
        <f aca="false">IF(I15=0,"❌ Out of Stock",IF(I15&lt;=J15,"⚠ Low Stock","✅ In Stock"))</f>
        <v>✅ In Stock</v>
      </c>
      <c r="N15" s="10" t="s">
        <v>71</v>
      </c>
      <c r="O15" s="13" t="n">
        <v>45332</v>
      </c>
    </row>
    <row r="16" customFormat="false" ht="18" hidden="false" customHeight="true" outlineLevel="0" collapsed="false">
      <c r="A16" s="4" t="s">
        <v>72</v>
      </c>
      <c r="B16" s="5" t="s">
        <v>73</v>
      </c>
      <c r="C16" s="4" t="s">
        <v>69</v>
      </c>
      <c r="D16" s="4" t="s">
        <v>70</v>
      </c>
      <c r="E16" s="4" t="s">
        <v>21</v>
      </c>
      <c r="F16" s="6" t="n">
        <v>1100</v>
      </c>
      <c r="G16" s="6" t="n">
        <v>2199</v>
      </c>
      <c r="H16" s="7" t="n">
        <f aca="false">ROUND((G16-F16)/F16*100,1)</f>
        <v>99.9</v>
      </c>
      <c r="I16" s="4" t="n">
        <v>100</v>
      </c>
      <c r="J16" s="4" t="n">
        <v>11</v>
      </c>
      <c r="K16" s="4" t="n">
        <v>6</v>
      </c>
      <c r="L16" s="6" t="n">
        <f aca="false">F16*I16</f>
        <v>110000</v>
      </c>
      <c r="M16" s="4" t="str">
        <f aca="false">IF(I16=0,"❌ Out of Stock",IF(I16&lt;=J16,"⚠ Low Stock","✅ In Stock"))</f>
        <v>✅ In Stock</v>
      </c>
      <c r="N16" s="5" t="s">
        <v>71</v>
      </c>
      <c r="O16" s="8" t="n">
        <v>45337</v>
      </c>
    </row>
    <row r="17" customFormat="false" ht="18" hidden="false" customHeight="true" outlineLevel="0" collapsed="false">
      <c r="A17" s="9" t="s">
        <v>74</v>
      </c>
      <c r="B17" s="10" t="s">
        <v>75</v>
      </c>
      <c r="C17" s="9" t="s">
        <v>55</v>
      </c>
      <c r="D17" s="9" t="s">
        <v>76</v>
      </c>
      <c r="E17" s="9" t="s">
        <v>21</v>
      </c>
      <c r="F17" s="11" t="n">
        <v>95</v>
      </c>
      <c r="G17" s="11" t="n">
        <v>199</v>
      </c>
      <c r="H17" s="12" t="n">
        <f aca="false">ROUND((G17-F17)/F17*100,1)</f>
        <v>109.5</v>
      </c>
      <c r="I17" s="9" t="n">
        <v>109</v>
      </c>
      <c r="J17" s="9" t="n">
        <v>40</v>
      </c>
      <c r="K17" s="9" t="n">
        <v>21</v>
      </c>
      <c r="L17" s="11" t="n">
        <f aca="false">F17*I17</f>
        <v>10355</v>
      </c>
      <c r="M17" s="9" t="str">
        <f aca="false">IF(I17=0,"❌ Out of Stock",IF(I17&lt;=J17,"⚠ Low Stock","✅ In Stock"))</f>
        <v>✅ In Stock</v>
      </c>
      <c r="N17" s="10" t="s">
        <v>77</v>
      </c>
      <c r="O17" s="13" t="n">
        <v>45337</v>
      </c>
    </row>
    <row r="18" customFormat="false" ht="18" hidden="false" customHeight="true" outlineLevel="0" collapsed="false">
      <c r="A18" s="4" t="s">
        <v>78</v>
      </c>
      <c r="B18" s="5" t="s">
        <v>79</v>
      </c>
      <c r="C18" s="4" t="s">
        <v>34</v>
      </c>
      <c r="D18" s="4" t="s">
        <v>80</v>
      </c>
      <c r="E18" s="4" t="s">
        <v>81</v>
      </c>
      <c r="F18" s="6" t="n">
        <v>220</v>
      </c>
      <c r="G18" s="6" t="n">
        <v>449</v>
      </c>
      <c r="H18" s="7" t="n">
        <f aca="false">ROUND((G18-F18)/F18*100,1)</f>
        <v>104.1</v>
      </c>
      <c r="I18" s="4" t="n">
        <v>104</v>
      </c>
      <c r="J18" s="4" t="n">
        <v>30</v>
      </c>
      <c r="K18" s="4" t="n">
        <v>16</v>
      </c>
      <c r="L18" s="6" t="n">
        <f aca="false">F18*I18</f>
        <v>22880</v>
      </c>
      <c r="M18" s="4" t="str">
        <f aca="false">IF(I18=0,"❌ Out of Stock",IF(I18&lt;=J18,"⚠ Low Stock","✅ In Stock"))</f>
        <v>✅ In Stock</v>
      </c>
      <c r="N18" s="5" t="s">
        <v>22</v>
      </c>
      <c r="O18" s="8" t="n">
        <v>45342</v>
      </c>
    </row>
    <row r="19" customFormat="false" ht="18" hidden="false" customHeight="true" outlineLevel="0" collapsed="false">
      <c r="A19" s="9" t="s">
        <v>82</v>
      </c>
      <c r="B19" s="10" t="s">
        <v>83</v>
      </c>
      <c r="C19" s="9" t="s">
        <v>55</v>
      </c>
      <c r="D19" s="9" t="s">
        <v>76</v>
      </c>
      <c r="E19" s="9" t="s">
        <v>21</v>
      </c>
      <c r="F19" s="11" t="n">
        <v>580</v>
      </c>
      <c r="G19" s="11" t="n">
        <v>1099</v>
      </c>
      <c r="H19" s="12" t="n">
        <f aca="false">ROUND((G19-F19)/F19*100,1)</f>
        <v>89.5</v>
      </c>
      <c r="I19" s="9" t="n">
        <v>89</v>
      </c>
      <c r="J19" s="9" t="n">
        <v>18</v>
      </c>
      <c r="K19" s="9" t="n">
        <v>8</v>
      </c>
      <c r="L19" s="11" t="n">
        <f aca="false">F19*I19</f>
        <v>51620</v>
      </c>
      <c r="M19" s="9" t="str">
        <f aca="false">IF(I19=0,"❌ Out of Stock",IF(I19&lt;=J19,"⚠ Low Stock","✅ In Stock"))</f>
        <v>✅ In Stock</v>
      </c>
      <c r="N19" s="10" t="s">
        <v>77</v>
      </c>
      <c r="O19" s="13" t="n">
        <v>45342</v>
      </c>
    </row>
    <row r="20" customFormat="false" ht="18" hidden="false" customHeight="true" outlineLevel="0" collapsed="false">
      <c r="A20" s="4" t="s">
        <v>84</v>
      </c>
      <c r="B20" s="5" t="s">
        <v>85</v>
      </c>
      <c r="C20" s="4" t="s">
        <v>34</v>
      </c>
      <c r="D20" s="4" t="s">
        <v>51</v>
      </c>
      <c r="E20" s="4" t="s">
        <v>21</v>
      </c>
      <c r="F20" s="6" t="n">
        <v>145</v>
      </c>
      <c r="G20" s="6" t="n">
        <v>299</v>
      </c>
      <c r="H20" s="7" t="n">
        <f aca="false">ROUND((G20-F20)/F20*100,1)</f>
        <v>106.2</v>
      </c>
      <c r="I20" s="4" t="n">
        <v>106</v>
      </c>
      <c r="J20" s="4" t="n">
        <v>60</v>
      </c>
      <c r="K20" s="4" t="n">
        <v>34</v>
      </c>
      <c r="L20" s="6" t="n">
        <f aca="false">F20*I20</f>
        <v>15370</v>
      </c>
      <c r="M20" s="4" t="str">
        <f aca="false">IF(I20=0,"❌ Out of Stock",IF(I20&lt;=J20,"⚠ Low Stock","✅ In Stock"))</f>
        <v>✅ In Stock</v>
      </c>
      <c r="N20" s="5" t="s">
        <v>52</v>
      </c>
      <c r="O20" s="8" t="n">
        <v>45352</v>
      </c>
    </row>
    <row r="21" customFormat="false" ht="18" hidden="false" customHeight="true" outlineLevel="0" collapsed="false">
      <c r="A21" s="9" t="s">
        <v>86</v>
      </c>
      <c r="B21" s="10" t="s">
        <v>87</v>
      </c>
      <c r="C21" s="9" t="s">
        <v>39</v>
      </c>
      <c r="D21" s="9" t="s">
        <v>88</v>
      </c>
      <c r="E21" s="9" t="s">
        <v>21</v>
      </c>
      <c r="F21" s="11" t="n">
        <v>2100</v>
      </c>
      <c r="G21" s="11" t="n">
        <v>3999</v>
      </c>
      <c r="H21" s="12" t="n">
        <f aca="false">ROUND((G21-F21)/F21*100,1)</f>
        <v>90.4</v>
      </c>
      <c r="I21" s="9" t="n">
        <v>90</v>
      </c>
      <c r="J21" s="9" t="n">
        <v>10</v>
      </c>
      <c r="K21" s="9" t="n">
        <v>5</v>
      </c>
      <c r="L21" s="11" t="n">
        <f aca="false">F21*I21</f>
        <v>189000</v>
      </c>
      <c r="M21" s="9" t="str">
        <f aca="false">IF(I21=0,"❌ Out of Stock",IF(I21&lt;=J21,"⚠ Low Stock","✅ In Stock"))</f>
        <v>✅ In Stock</v>
      </c>
      <c r="N21" s="10" t="s">
        <v>89</v>
      </c>
      <c r="O21" s="13" t="n">
        <v>45352</v>
      </c>
    </row>
    <row r="22" customFormat="false" ht="18" hidden="false" customHeight="true" outlineLevel="0" collapsed="false">
      <c r="A22" s="4" t="s">
        <v>90</v>
      </c>
      <c r="B22" s="5" t="s">
        <v>91</v>
      </c>
      <c r="C22" s="4" t="s">
        <v>19</v>
      </c>
      <c r="D22" s="4" t="s">
        <v>92</v>
      </c>
      <c r="E22" s="4" t="s">
        <v>21</v>
      </c>
      <c r="F22" s="6" t="n">
        <v>5500</v>
      </c>
      <c r="G22" s="6" t="n">
        <v>9999</v>
      </c>
      <c r="H22" s="7" t="n">
        <f aca="false">ROUND((G22-F22)/F22*100,1)</f>
        <v>81.8</v>
      </c>
      <c r="I22" s="4" t="n">
        <v>82</v>
      </c>
      <c r="J22" s="4" t="n">
        <v>5</v>
      </c>
      <c r="K22" s="4" t="n">
        <v>2</v>
      </c>
      <c r="L22" s="6" t="n">
        <f aca="false">F22*I22</f>
        <v>451000</v>
      </c>
      <c r="M22" s="4" t="str">
        <f aca="false">IF(I22=0,"❌ Out of Stock",IF(I22&lt;=J22,"⚠ Low Stock","✅ In Stock"))</f>
        <v>✅ In Stock</v>
      </c>
      <c r="N22" s="5" t="s">
        <v>93</v>
      </c>
      <c r="O22" s="8" t="n">
        <v>45356</v>
      </c>
    </row>
    <row r="23" customFormat="false" ht="18" hidden="false" customHeight="true" outlineLevel="0" collapsed="false">
      <c r="A23" s="9" t="s">
        <v>94</v>
      </c>
      <c r="B23" s="10" t="s">
        <v>95</v>
      </c>
      <c r="C23" s="9" t="s">
        <v>44</v>
      </c>
      <c r="D23" s="9" t="s">
        <v>30</v>
      </c>
      <c r="E23" s="9" t="s">
        <v>21</v>
      </c>
      <c r="F23" s="11" t="n">
        <v>2200</v>
      </c>
      <c r="G23" s="11" t="n">
        <v>3999</v>
      </c>
      <c r="H23" s="12" t="n">
        <f aca="false">ROUND((G23-F23)/F23*100,1)</f>
        <v>81.8</v>
      </c>
      <c r="I23" s="9" t="n">
        <v>82</v>
      </c>
      <c r="J23" s="9" t="n">
        <v>12</v>
      </c>
      <c r="K23" s="9" t="n">
        <v>7</v>
      </c>
      <c r="L23" s="11" t="n">
        <f aca="false">F23*I23</f>
        <v>180400</v>
      </c>
      <c r="M23" s="9" t="str">
        <f aca="false">IF(I23=0,"❌ Out of Stock",IF(I23&lt;=J23,"⚠ Low Stock","✅ In Stock"))</f>
        <v>✅ In Stock</v>
      </c>
      <c r="N23" s="10" t="s">
        <v>31</v>
      </c>
      <c r="O23" s="13" t="n">
        <v>45356</v>
      </c>
    </row>
    <row r="24" customFormat="false" ht="18" hidden="false" customHeight="true" outlineLevel="0" collapsed="false">
      <c r="A24" s="4" t="s">
        <v>96</v>
      </c>
      <c r="B24" s="5" t="s">
        <v>97</v>
      </c>
      <c r="C24" s="4" t="s">
        <v>44</v>
      </c>
      <c r="D24" s="4" t="s">
        <v>98</v>
      </c>
      <c r="E24" s="4" t="s">
        <v>21</v>
      </c>
      <c r="F24" s="6" t="n">
        <v>380</v>
      </c>
      <c r="G24" s="6" t="n">
        <v>699</v>
      </c>
      <c r="H24" s="7" t="n">
        <f aca="false">ROUND((G24-F24)/F24*100,1)</f>
        <v>83.9</v>
      </c>
      <c r="I24" s="4" t="n">
        <v>84</v>
      </c>
      <c r="J24" s="4" t="n">
        <v>35</v>
      </c>
      <c r="K24" s="4" t="n">
        <v>19</v>
      </c>
      <c r="L24" s="6" t="n">
        <f aca="false">F24*I24</f>
        <v>31920</v>
      </c>
      <c r="M24" s="4" t="str">
        <f aca="false">IF(I24=0,"❌ Out of Stock",IF(I24&lt;=J24,"⚠ Low Stock","✅ In Stock"))</f>
        <v>✅ In Stock</v>
      </c>
      <c r="N24" s="5" t="s">
        <v>99</v>
      </c>
      <c r="O24" s="8" t="n">
        <v>45361</v>
      </c>
    </row>
    <row r="25" customFormat="false" ht="18" hidden="false" customHeight="true" outlineLevel="0" collapsed="false">
      <c r="A25" s="9" t="s">
        <v>100</v>
      </c>
      <c r="B25" s="10" t="s">
        <v>101</v>
      </c>
      <c r="C25" s="9" t="s">
        <v>34</v>
      </c>
      <c r="D25" s="9" t="s">
        <v>102</v>
      </c>
      <c r="E25" s="9" t="s">
        <v>21</v>
      </c>
      <c r="F25" s="11" t="n">
        <v>650</v>
      </c>
      <c r="G25" s="11" t="n">
        <v>1199</v>
      </c>
      <c r="H25" s="12" t="n">
        <f aca="false">ROUND((G25-F25)/F25*100,1)</f>
        <v>84.5</v>
      </c>
      <c r="I25" s="9" t="n">
        <v>84</v>
      </c>
      <c r="J25" s="9" t="n">
        <v>20</v>
      </c>
      <c r="K25" s="9" t="n">
        <v>11</v>
      </c>
      <c r="L25" s="11" t="n">
        <f aca="false">F25*I25</f>
        <v>54600</v>
      </c>
      <c r="M25" s="9" t="str">
        <f aca="false">IF(I25=0,"❌ Out of Stock",IF(I25&lt;=J25,"⚠ Low Stock","✅ In Stock"))</f>
        <v>✅ In Stock</v>
      </c>
      <c r="N25" s="10" t="s">
        <v>103</v>
      </c>
      <c r="O25" s="13" t="n">
        <v>45361</v>
      </c>
    </row>
    <row r="26" customFormat="false" ht="18" hidden="false" customHeight="true" outlineLevel="0" collapsed="false">
      <c r="A26" s="4" t="s">
        <v>104</v>
      </c>
      <c r="B26" s="5" t="s">
        <v>105</v>
      </c>
      <c r="C26" s="4" t="s">
        <v>34</v>
      </c>
      <c r="D26" s="4" t="s">
        <v>106</v>
      </c>
      <c r="E26" s="4" t="s">
        <v>81</v>
      </c>
      <c r="F26" s="6" t="n">
        <v>120</v>
      </c>
      <c r="G26" s="6" t="n">
        <v>249</v>
      </c>
      <c r="H26" s="7" t="n">
        <f aca="false">ROUND((G26-F26)/F26*100,1)</f>
        <v>107.5</v>
      </c>
      <c r="I26" s="4" t="n">
        <v>108</v>
      </c>
      <c r="J26" s="4" t="n">
        <v>45</v>
      </c>
      <c r="K26" s="4" t="n">
        <v>26</v>
      </c>
      <c r="L26" s="6" t="n">
        <f aca="false">F26*I26</f>
        <v>12960</v>
      </c>
      <c r="M26" s="4" t="str">
        <f aca="false">IF(I26=0,"❌ Out of Stock",IF(I26&lt;=J26,"⚠ Low Stock","✅ In Stock"))</f>
        <v>✅ In Stock</v>
      </c>
      <c r="N26" s="5" t="s">
        <v>107</v>
      </c>
      <c r="O26" s="8" t="n">
        <v>45366</v>
      </c>
    </row>
    <row r="27" customFormat="false" ht="18" hidden="false" customHeight="true" outlineLevel="0" collapsed="false">
      <c r="A27" s="9" t="s">
        <v>108</v>
      </c>
      <c r="B27" s="10" t="s">
        <v>109</v>
      </c>
      <c r="C27" s="9" t="s">
        <v>34</v>
      </c>
      <c r="D27" s="9" t="s">
        <v>35</v>
      </c>
      <c r="E27" s="9" t="s">
        <v>21</v>
      </c>
      <c r="F27" s="11" t="n">
        <v>480</v>
      </c>
      <c r="G27" s="11" t="n">
        <v>899</v>
      </c>
      <c r="H27" s="12" t="n">
        <f aca="false">ROUND((G27-F27)/F27*100,1)</f>
        <v>87.3</v>
      </c>
      <c r="I27" s="9" t="n">
        <v>87</v>
      </c>
      <c r="J27" s="9" t="n">
        <v>22</v>
      </c>
      <c r="K27" s="9" t="n">
        <v>13</v>
      </c>
      <c r="L27" s="11" t="n">
        <f aca="false">F27*I27</f>
        <v>41760</v>
      </c>
      <c r="M27" s="9" t="str">
        <f aca="false">IF(I27=0,"❌ Out of Stock",IF(I27&lt;=J27,"⚠ Low Stock","✅ In Stock"))</f>
        <v>✅ In Stock</v>
      </c>
      <c r="N27" s="10" t="s">
        <v>36</v>
      </c>
      <c r="O27" s="13" t="n">
        <v>45366</v>
      </c>
    </row>
    <row r="28" customFormat="false" ht="18" hidden="false" customHeight="true" outlineLevel="0" collapsed="false">
      <c r="A28" s="4" t="s">
        <v>110</v>
      </c>
      <c r="B28" s="5" t="s">
        <v>111</v>
      </c>
      <c r="C28" s="4" t="s">
        <v>55</v>
      </c>
      <c r="D28" s="4" t="s">
        <v>112</v>
      </c>
      <c r="E28" s="4" t="s">
        <v>21</v>
      </c>
      <c r="F28" s="6" t="n">
        <v>1400</v>
      </c>
      <c r="G28" s="6" t="n">
        <v>2599</v>
      </c>
      <c r="H28" s="7" t="n">
        <f aca="false">ROUND((G28-F28)/F28*100,1)</f>
        <v>85.6</v>
      </c>
      <c r="I28" s="4" t="n">
        <v>86</v>
      </c>
      <c r="J28" s="4" t="n">
        <v>9</v>
      </c>
      <c r="K28" s="4" t="n">
        <v>4</v>
      </c>
      <c r="L28" s="6" t="n">
        <f aca="false">F28*I28</f>
        <v>120400</v>
      </c>
      <c r="M28" s="4" t="str">
        <f aca="false">IF(I28=0,"❌ Out of Stock",IF(I28&lt;=J28,"⚠ Low Stock","✅ In Stock"))</f>
        <v>✅ In Stock</v>
      </c>
      <c r="N28" s="5" t="s">
        <v>113</v>
      </c>
      <c r="O28" s="8" t="n">
        <v>45371</v>
      </c>
    </row>
    <row r="29" customFormat="false" ht="18" hidden="false" customHeight="true" outlineLevel="0" collapsed="false">
      <c r="A29" s="9" t="s">
        <v>114</v>
      </c>
      <c r="B29" s="10" t="s">
        <v>115</v>
      </c>
      <c r="C29" s="9" t="s">
        <v>55</v>
      </c>
      <c r="D29" s="9" t="s">
        <v>116</v>
      </c>
      <c r="E29" s="9" t="s">
        <v>21</v>
      </c>
      <c r="F29" s="11" t="n">
        <v>3200</v>
      </c>
      <c r="G29" s="11" t="n">
        <v>5999</v>
      </c>
      <c r="H29" s="12" t="n">
        <f aca="false">ROUND((G29-F29)/F29*100,1)</f>
        <v>87.5</v>
      </c>
      <c r="I29" s="9" t="n">
        <v>87</v>
      </c>
      <c r="J29" s="9" t="n">
        <v>6</v>
      </c>
      <c r="K29" s="9" t="n">
        <v>3</v>
      </c>
      <c r="L29" s="11" t="n">
        <f aca="false">F29*I29</f>
        <v>278400</v>
      </c>
      <c r="M29" s="9" t="str">
        <f aca="false">IF(I29=0,"❌ Out of Stock",IF(I29&lt;=J29,"⚠ Low Stock","✅ In Stock"))</f>
        <v>✅ In Stock</v>
      </c>
      <c r="N29" s="10" t="s">
        <v>117</v>
      </c>
      <c r="O29" s="13" t="n">
        <v>45371</v>
      </c>
    </row>
    <row r="30" customFormat="false" ht="18" hidden="false" customHeight="true" outlineLevel="0" collapsed="false">
      <c r="A30" s="4" t="s">
        <v>118</v>
      </c>
      <c r="B30" s="5" t="s">
        <v>119</v>
      </c>
      <c r="C30" s="4" t="s">
        <v>19</v>
      </c>
      <c r="D30" s="4" t="s">
        <v>120</v>
      </c>
      <c r="E30" s="4" t="s">
        <v>21</v>
      </c>
      <c r="F30" s="6" t="n">
        <v>580</v>
      </c>
      <c r="G30" s="6" t="n">
        <v>1099</v>
      </c>
      <c r="H30" s="7" t="n">
        <f aca="false">ROUND((G30-F30)/F30*100,1)</f>
        <v>89.5</v>
      </c>
      <c r="I30" s="4" t="n">
        <v>90</v>
      </c>
      <c r="J30" s="4" t="n">
        <v>16</v>
      </c>
      <c r="K30" s="4" t="n">
        <v>9</v>
      </c>
      <c r="L30" s="6" t="n">
        <f aca="false">F30*I30</f>
        <v>52200</v>
      </c>
      <c r="M30" s="4" t="str">
        <f aca="false">IF(I30=0,"❌ Out of Stock",IF(I30&lt;=J30,"⚠ Low Stock","✅ In Stock"))</f>
        <v>✅ In Stock</v>
      </c>
      <c r="N30" s="5" t="s">
        <v>121</v>
      </c>
      <c r="O30" s="8" t="n">
        <v>45383</v>
      </c>
    </row>
    <row r="31" customFormat="false" ht="18" hidden="false" customHeight="true" outlineLevel="0" collapsed="false">
      <c r="A31" s="9" t="s">
        <v>122</v>
      </c>
      <c r="B31" s="10" t="s">
        <v>123</v>
      </c>
      <c r="C31" s="9" t="s">
        <v>39</v>
      </c>
      <c r="D31" s="9" t="s">
        <v>124</v>
      </c>
      <c r="E31" s="9" t="s">
        <v>21</v>
      </c>
      <c r="F31" s="11" t="n">
        <v>4800</v>
      </c>
      <c r="G31" s="11" t="n">
        <v>8999</v>
      </c>
      <c r="H31" s="12" t="n">
        <f aca="false">ROUND((G31-F31)/F31*100,1)</f>
        <v>87.5</v>
      </c>
      <c r="I31" s="9" t="n">
        <v>87</v>
      </c>
      <c r="J31" s="9" t="n">
        <v>7</v>
      </c>
      <c r="K31" s="9" t="n">
        <v>3</v>
      </c>
      <c r="L31" s="11" t="n">
        <f aca="false">F31*I31</f>
        <v>417600</v>
      </c>
      <c r="M31" s="9" t="str">
        <f aca="false">IF(I31=0,"❌ Out of Stock",IF(I31&lt;=J31,"⚠ Low Stock","✅ In Stock"))</f>
        <v>✅ In Stock</v>
      </c>
      <c r="N31" s="10" t="s">
        <v>125</v>
      </c>
      <c r="O31" s="13" t="n">
        <v>45383</v>
      </c>
    </row>
    <row r="32" customFormat="false" ht="18" hidden="false" customHeight="true" outlineLevel="0" collapsed="false">
      <c r="A32" s="4" t="s">
        <v>126</v>
      </c>
      <c r="B32" s="5" t="s">
        <v>127</v>
      </c>
      <c r="C32" s="4" t="s">
        <v>34</v>
      </c>
      <c r="D32" s="4" t="s">
        <v>102</v>
      </c>
      <c r="E32" s="4" t="s">
        <v>21</v>
      </c>
      <c r="F32" s="6" t="n">
        <v>4200</v>
      </c>
      <c r="G32" s="6" t="n">
        <v>7999</v>
      </c>
      <c r="H32" s="7" t="n">
        <f aca="false">ROUND((G32-F32)/F32*100,1)</f>
        <v>90.5</v>
      </c>
      <c r="I32" s="4" t="n">
        <v>90</v>
      </c>
      <c r="J32" s="4" t="n">
        <v>5</v>
      </c>
      <c r="K32" s="4" t="n">
        <v>2</v>
      </c>
      <c r="L32" s="6" t="n">
        <f aca="false">F32*I32</f>
        <v>378000</v>
      </c>
      <c r="M32" s="4" t="str">
        <f aca="false">IF(I32=0,"❌ Out of Stock",IF(I32&lt;=J32,"⚠ Low Stock","✅ In Stock"))</f>
        <v>✅ In Stock</v>
      </c>
      <c r="N32" s="5" t="s">
        <v>103</v>
      </c>
      <c r="O32" s="8" t="n">
        <v>45387</v>
      </c>
    </row>
    <row r="33" customFormat="false" ht="18" hidden="false" customHeight="true" outlineLevel="0" collapsed="false">
      <c r="A33" s="9" t="s">
        <v>128</v>
      </c>
      <c r="B33" s="10" t="s">
        <v>129</v>
      </c>
      <c r="C33" s="9" t="s">
        <v>34</v>
      </c>
      <c r="D33" s="9" t="s">
        <v>130</v>
      </c>
      <c r="E33" s="9" t="s">
        <v>21</v>
      </c>
      <c r="F33" s="11" t="n">
        <v>2800</v>
      </c>
      <c r="G33" s="11" t="n">
        <v>5299</v>
      </c>
      <c r="H33" s="12" t="n">
        <f aca="false">ROUND((G33-F33)/F33*100,1)</f>
        <v>89.3</v>
      </c>
      <c r="I33" s="9" t="n">
        <v>89</v>
      </c>
      <c r="J33" s="9" t="n">
        <v>8</v>
      </c>
      <c r="K33" s="9" t="n">
        <v>4</v>
      </c>
      <c r="L33" s="11" t="n">
        <f aca="false">F33*I33</f>
        <v>249200</v>
      </c>
      <c r="M33" s="9" t="str">
        <f aca="false">IF(I33=0,"❌ Out of Stock",IF(I33&lt;=J33,"⚠ Low Stock","✅ In Stock"))</f>
        <v>✅ In Stock</v>
      </c>
      <c r="N33" s="10" t="s">
        <v>131</v>
      </c>
      <c r="O33" s="13" t="n">
        <v>45387</v>
      </c>
    </row>
    <row r="34" customFormat="false" ht="18" hidden="false" customHeight="true" outlineLevel="0" collapsed="false">
      <c r="A34" s="4" t="s">
        <v>132</v>
      </c>
      <c r="B34" s="5" t="s">
        <v>133</v>
      </c>
      <c r="C34" s="4" t="s">
        <v>134</v>
      </c>
      <c r="D34" s="4" t="s">
        <v>135</v>
      </c>
      <c r="E34" s="4" t="s">
        <v>136</v>
      </c>
      <c r="F34" s="6" t="n">
        <v>380</v>
      </c>
      <c r="G34" s="6" t="n">
        <v>799</v>
      </c>
      <c r="H34" s="7" t="n">
        <f aca="false">ROUND((G34-F34)/F34*100,1)</f>
        <v>110.3</v>
      </c>
      <c r="I34" s="4" t="n">
        <v>110</v>
      </c>
      <c r="J34" s="4" t="n">
        <v>3</v>
      </c>
      <c r="K34" s="4" t="n">
        <v>1</v>
      </c>
      <c r="L34" s="6" t="n">
        <f aca="false">F34*I34</f>
        <v>41800</v>
      </c>
      <c r="M34" s="4" t="str">
        <f aca="false">IF(I34=0,"❌ Out of Stock",IF(I34&lt;=J34,"⚠ Low Stock","✅ In Stock"))</f>
        <v>✅ In Stock</v>
      </c>
      <c r="N34" s="5" t="s">
        <v>137</v>
      </c>
      <c r="O34" s="8" t="n">
        <v>45392</v>
      </c>
    </row>
    <row r="35" customFormat="false" ht="18" hidden="false" customHeight="true" outlineLevel="0" collapsed="false">
      <c r="A35" s="9" t="s">
        <v>138</v>
      </c>
      <c r="B35" s="10" t="s">
        <v>139</v>
      </c>
      <c r="C35" s="9" t="s">
        <v>64</v>
      </c>
      <c r="D35" s="9" t="s">
        <v>140</v>
      </c>
      <c r="E35" s="9" t="s">
        <v>21</v>
      </c>
      <c r="F35" s="11" t="n">
        <v>4500</v>
      </c>
      <c r="G35" s="11" t="n">
        <v>7999</v>
      </c>
      <c r="H35" s="12" t="n">
        <f aca="false">ROUND((G35-F35)/F35*100,1)</f>
        <v>77.8</v>
      </c>
      <c r="I35" s="9" t="n">
        <v>78</v>
      </c>
      <c r="J35" s="9" t="n">
        <v>5</v>
      </c>
      <c r="K35" s="9" t="n">
        <v>3</v>
      </c>
      <c r="L35" s="11" t="n">
        <f aca="false">F35*I35</f>
        <v>351000</v>
      </c>
      <c r="M35" s="9" t="str">
        <f aca="false">IF(I35=0,"❌ Out of Stock",IF(I35&lt;=J35,"⚠ Low Stock","✅ In Stock"))</f>
        <v>✅ In Stock</v>
      </c>
      <c r="N35" s="10" t="s">
        <v>141</v>
      </c>
      <c r="O35" s="13" t="n">
        <v>45392</v>
      </c>
    </row>
    <row r="36" customFormat="false" ht="18" hidden="false" customHeight="true" outlineLevel="0" collapsed="false">
      <c r="A36" s="4" t="s">
        <v>142</v>
      </c>
      <c r="B36" s="5" t="s">
        <v>143</v>
      </c>
      <c r="C36" s="4" t="s">
        <v>34</v>
      </c>
      <c r="D36" s="4" t="s">
        <v>144</v>
      </c>
      <c r="E36" s="4" t="s">
        <v>21</v>
      </c>
      <c r="F36" s="6" t="n">
        <v>350</v>
      </c>
      <c r="G36" s="6" t="n">
        <v>699</v>
      </c>
      <c r="H36" s="7" t="n">
        <f aca="false">ROUND((G36-F36)/F36*100,1)</f>
        <v>99.7</v>
      </c>
      <c r="I36" s="4" t="n">
        <v>100</v>
      </c>
      <c r="J36" s="4" t="n">
        <v>20</v>
      </c>
      <c r="K36" s="4" t="n">
        <v>12</v>
      </c>
      <c r="L36" s="6" t="n">
        <f aca="false">F36*I36</f>
        <v>35000</v>
      </c>
      <c r="M36" s="4" t="str">
        <f aca="false">IF(I36=0,"❌ Out of Stock",IF(I36&lt;=J36,"⚠ Low Stock","✅ In Stock"))</f>
        <v>✅ In Stock</v>
      </c>
      <c r="N36" s="5" t="s">
        <v>145</v>
      </c>
      <c r="O36" s="8" t="n">
        <v>45397</v>
      </c>
    </row>
    <row r="37" customFormat="false" ht="18" hidden="false" customHeight="true" outlineLevel="0" collapsed="false">
      <c r="A37" s="9" t="s">
        <v>146</v>
      </c>
      <c r="B37" s="10" t="s">
        <v>147</v>
      </c>
      <c r="C37" s="9" t="s">
        <v>69</v>
      </c>
      <c r="D37" s="9" t="s">
        <v>70</v>
      </c>
      <c r="E37" s="9" t="s">
        <v>21</v>
      </c>
      <c r="F37" s="11" t="n">
        <v>850</v>
      </c>
      <c r="G37" s="11" t="n">
        <v>1599</v>
      </c>
      <c r="H37" s="12" t="n">
        <f aca="false">ROUND((G37-F37)/F37*100,1)</f>
        <v>88.1</v>
      </c>
      <c r="I37" s="9" t="n">
        <v>88</v>
      </c>
      <c r="J37" s="9" t="n">
        <v>10</v>
      </c>
      <c r="K37" s="9" t="n">
        <v>5</v>
      </c>
      <c r="L37" s="11" t="n">
        <f aca="false">F37*I37</f>
        <v>74800</v>
      </c>
      <c r="M37" s="9" t="str">
        <f aca="false">IF(I37=0,"❌ Out of Stock",IF(I37&lt;=J37,"⚠ Low Stock","✅ In Stock"))</f>
        <v>✅ In Stock</v>
      </c>
      <c r="N37" s="10" t="s">
        <v>71</v>
      </c>
      <c r="O37" s="13" t="n">
        <v>45397</v>
      </c>
    </row>
    <row r="38" customFormat="false" ht="18" hidden="false" customHeight="true" outlineLevel="0" collapsed="false">
      <c r="A38" s="4" t="s">
        <v>148</v>
      </c>
      <c r="B38" s="5" t="s">
        <v>149</v>
      </c>
      <c r="C38" s="4" t="s">
        <v>34</v>
      </c>
      <c r="D38" s="4" t="s">
        <v>112</v>
      </c>
      <c r="E38" s="4" t="s">
        <v>21</v>
      </c>
      <c r="F38" s="6" t="n">
        <v>680</v>
      </c>
      <c r="G38" s="6" t="n">
        <v>1299</v>
      </c>
      <c r="H38" s="7" t="n">
        <f aca="false">ROUND((G38-F38)/F38*100,1)</f>
        <v>91</v>
      </c>
      <c r="I38" s="4" t="n">
        <v>91</v>
      </c>
      <c r="J38" s="4" t="n">
        <v>15</v>
      </c>
      <c r="K38" s="4" t="n">
        <v>8</v>
      </c>
      <c r="L38" s="6" t="n">
        <f aca="false">F38*I38</f>
        <v>61880</v>
      </c>
      <c r="M38" s="4" t="str">
        <f aca="false">IF(I38=0,"❌ Out of Stock",IF(I38&lt;=J38,"⚠ Low Stock","✅ In Stock"))</f>
        <v>✅ In Stock</v>
      </c>
      <c r="N38" s="5" t="s">
        <v>113</v>
      </c>
      <c r="O38" s="8" t="n">
        <v>45402</v>
      </c>
    </row>
    <row r="39" customFormat="false" ht="18" hidden="false" customHeight="true" outlineLevel="0" collapsed="false">
      <c r="A39" s="9" t="s">
        <v>150</v>
      </c>
      <c r="B39" s="10" t="s">
        <v>151</v>
      </c>
      <c r="C39" s="9" t="s">
        <v>34</v>
      </c>
      <c r="D39" s="9" t="s">
        <v>51</v>
      </c>
      <c r="E39" s="9" t="s">
        <v>21</v>
      </c>
      <c r="F39" s="11" t="n">
        <v>95</v>
      </c>
      <c r="G39" s="11" t="n">
        <v>199</v>
      </c>
      <c r="H39" s="12" t="n">
        <f aca="false">ROUND((G39-F39)/F39*100,1)</f>
        <v>109.5</v>
      </c>
      <c r="I39" s="9" t="n">
        <v>109</v>
      </c>
      <c r="J39" s="9" t="n">
        <v>50</v>
      </c>
      <c r="K39" s="9" t="n">
        <v>31</v>
      </c>
      <c r="L39" s="11" t="n">
        <f aca="false">F39*I39</f>
        <v>10355</v>
      </c>
      <c r="M39" s="9" t="str">
        <f aca="false">IF(I39=0,"❌ Out of Stock",IF(I39&lt;=J39,"⚠ Low Stock","✅ In Stock"))</f>
        <v>✅ In Stock</v>
      </c>
      <c r="N39" s="10" t="s">
        <v>52</v>
      </c>
      <c r="O39" s="13" t="n">
        <v>45402</v>
      </c>
    </row>
    <row r="40" customFormat="false" ht="18" hidden="false" customHeight="true" outlineLevel="0" collapsed="false">
      <c r="A40" s="4" t="s">
        <v>152</v>
      </c>
      <c r="B40" s="5" t="s">
        <v>153</v>
      </c>
      <c r="C40" s="4" t="s">
        <v>34</v>
      </c>
      <c r="D40" s="4" t="s">
        <v>51</v>
      </c>
      <c r="E40" s="4" t="s">
        <v>21</v>
      </c>
      <c r="F40" s="6" t="n">
        <v>220</v>
      </c>
      <c r="G40" s="6" t="n">
        <v>399</v>
      </c>
      <c r="H40" s="7" t="n">
        <f aca="false">ROUND((G40-F40)/F40*100,1)</f>
        <v>81.4</v>
      </c>
      <c r="I40" s="4" t="n">
        <v>81</v>
      </c>
      <c r="J40" s="4" t="n">
        <v>35</v>
      </c>
      <c r="K40" s="4" t="n">
        <v>20</v>
      </c>
      <c r="L40" s="6" t="n">
        <f aca="false">F40*I40</f>
        <v>17820</v>
      </c>
      <c r="M40" s="4" t="str">
        <f aca="false">IF(I40=0,"❌ Out of Stock",IF(I40&lt;=J40,"⚠ Low Stock","✅ In Stock"))</f>
        <v>✅ In Stock</v>
      </c>
      <c r="N40" s="5" t="s">
        <v>52</v>
      </c>
      <c r="O40" s="8" t="n">
        <v>45413</v>
      </c>
    </row>
    <row r="41" customFormat="false" ht="18" hidden="false" customHeight="true" outlineLevel="0" collapsed="false">
      <c r="A41" s="9" t="s">
        <v>154</v>
      </c>
      <c r="B41" s="10" t="s">
        <v>155</v>
      </c>
      <c r="C41" s="9" t="s">
        <v>19</v>
      </c>
      <c r="D41" s="9" t="s">
        <v>156</v>
      </c>
      <c r="E41" s="9" t="s">
        <v>21</v>
      </c>
      <c r="F41" s="11" t="n">
        <v>480</v>
      </c>
      <c r="G41" s="11" t="n">
        <v>899</v>
      </c>
      <c r="H41" s="12" t="n">
        <f aca="false">ROUND((G41-F41)/F41*100,1)</f>
        <v>87.3</v>
      </c>
      <c r="I41" s="9" t="n">
        <v>87</v>
      </c>
      <c r="J41" s="9" t="n">
        <v>12</v>
      </c>
      <c r="K41" s="9" t="n">
        <v>6</v>
      </c>
      <c r="L41" s="11" t="n">
        <f aca="false">F41*I41</f>
        <v>41760</v>
      </c>
      <c r="M41" s="9" t="str">
        <f aca="false">IF(I41=0,"❌ Out of Stock",IF(I41&lt;=J41,"⚠ Low Stock","✅ In Stock"))</f>
        <v>✅ In Stock</v>
      </c>
      <c r="N41" s="10" t="s">
        <v>157</v>
      </c>
      <c r="O41" s="13" t="n">
        <v>45413</v>
      </c>
    </row>
    <row r="42" customFormat="false" ht="18" hidden="false" customHeight="true" outlineLevel="0" collapsed="false">
      <c r="A42" s="4" t="s">
        <v>158</v>
      </c>
      <c r="B42" s="5" t="s">
        <v>159</v>
      </c>
      <c r="C42" s="4" t="s">
        <v>34</v>
      </c>
      <c r="D42" s="4" t="s">
        <v>106</v>
      </c>
      <c r="E42" s="4" t="s">
        <v>21</v>
      </c>
      <c r="F42" s="6" t="n">
        <v>880</v>
      </c>
      <c r="G42" s="6" t="n">
        <v>1699</v>
      </c>
      <c r="H42" s="7" t="n">
        <f aca="false">ROUND((G42-F42)/F42*100,1)</f>
        <v>93.1</v>
      </c>
      <c r="I42" s="4" t="n">
        <v>93</v>
      </c>
      <c r="J42" s="4" t="n">
        <v>10</v>
      </c>
      <c r="K42" s="4" t="n">
        <v>5</v>
      </c>
      <c r="L42" s="6" t="n">
        <f aca="false">F42*I42</f>
        <v>81840</v>
      </c>
      <c r="M42" s="4" t="str">
        <f aca="false">IF(I42=0,"❌ Out of Stock",IF(I42&lt;=J42,"⚠ Low Stock","✅ In Stock"))</f>
        <v>✅ In Stock</v>
      </c>
      <c r="N42" s="5" t="s">
        <v>107</v>
      </c>
      <c r="O42" s="8" t="n">
        <v>45417</v>
      </c>
    </row>
    <row r="43" customFormat="false" ht="18" hidden="false" customHeight="true" outlineLevel="0" collapsed="false">
      <c r="A43" s="9" t="s">
        <v>160</v>
      </c>
      <c r="B43" s="10" t="s">
        <v>161</v>
      </c>
      <c r="C43" s="9" t="s">
        <v>34</v>
      </c>
      <c r="D43" s="9" t="s">
        <v>35</v>
      </c>
      <c r="E43" s="9" t="s">
        <v>21</v>
      </c>
      <c r="F43" s="11" t="n">
        <v>2200</v>
      </c>
      <c r="G43" s="11" t="n">
        <v>4199</v>
      </c>
      <c r="H43" s="12" t="n">
        <f aca="false">ROUND((G43-F43)/F43*100,1)</f>
        <v>90.9</v>
      </c>
      <c r="I43" s="9" t="n">
        <v>91</v>
      </c>
      <c r="J43" s="9" t="n">
        <v>8</v>
      </c>
      <c r="K43" s="9" t="n">
        <v>4</v>
      </c>
      <c r="L43" s="11" t="n">
        <f aca="false">F43*I43</f>
        <v>200200</v>
      </c>
      <c r="M43" s="9" t="str">
        <f aca="false">IF(I43=0,"❌ Out of Stock",IF(I43&lt;=J43,"⚠ Low Stock","✅ In Stock"))</f>
        <v>✅ In Stock</v>
      </c>
      <c r="N43" s="10" t="s">
        <v>36</v>
      </c>
      <c r="O43" s="13" t="n">
        <v>45417</v>
      </c>
    </row>
    <row r="44" customFormat="false" ht="18" hidden="false" customHeight="true" outlineLevel="0" collapsed="false">
      <c r="A44" s="4" t="s">
        <v>162</v>
      </c>
      <c r="B44" s="5" t="s">
        <v>163</v>
      </c>
      <c r="C44" s="4" t="s">
        <v>44</v>
      </c>
      <c r="D44" s="4" t="s">
        <v>164</v>
      </c>
      <c r="E44" s="4" t="s">
        <v>21</v>
      </c>
      <c r="F44" s="6" t="n">
        <v>2400</v>
      </c>
      <c r="G44" s="6" t="n">
        <v>4499</v>
      </c>
      <c r="H44" s="7" t="n">
        <f aca="false">ROUND((G44-F44)/F44*100,1)</f>
        <v>87.5</v>
      </c>
      <c r="I44" s="4" t="n">
        <v>87</v>
      </c>
      <c r="J44" s="4" t="n">
        <v>10</v>
      </c>
      <c r="K44" s="4" t="n">
        <v>5</v>
      </c>
      <c r="L44" s="6" t="n">
        <f aca="false">F44*I44</f>
        <v>208800</v>
      </c>
      <c r="M44" s="4" t="str">
        <f aca="false">IF(I44=0,"❌ Out of Stock",IF(I44&lt;=J44,"⚠ Low Stock","✅ In Stock"))</f>
        <v>✅ In Stock</v>
      </c>
      <c r="N44" s="5" t="s">
        <v>165</v>
      </c>
      <c r="O44" s="8" t="n">
        <v>45422</v>
      </c>
    </row>
    <row r="45" customFormat="false" ht="18" hidden="false" customHeight="true" outlineLevel="0" collapsed="false">
      <c r="A45" s="9" t="s">
        <v>166</v>
      </c>
      <c r="B45" s="10" t="s">
        <v>167</v>
      </c>
      <c r="C45" s="9" t="s">
        <v>34</v>
      </c>
      <c r="D45" s="9" t="s">
        <v>51</v>
      </c>
      <c r="E45" s="9" t="s">
        <v>21</v>
      </c>
      <c r="F45" s="11" t="n">
        <v>280</v>
      </c>
      <c r="G45" s="11" t="n">
        <v>549</v>
      </c>
      <c r="H45" s="12" t="n">
        <f aca="false">ROUND((G45-F45)/F45*100,1)</f>
        <v>96.1</v>
      </c>
      <c r="I45" s="9" t="n">
        <v>96</v>
      </c>
      <c r="J45" s="9" t="n">
        <v>20</v>
      </c>
      <c r="K45" s="9" t="n">
        <v>12</v>
      </c>
      <c r="L45" s="11" t="n">
        <f aca="false">F45*I45</f>
        <v>26880</v>
      </c>
      <c r="M45" s="9" t="str">
        <f aca="false">IF(I45=0,"❌ Out of Stock",IF(I45&lt;=J45,"⚠ Low Stock","✅ In Stock"))</f>
        <v>✅ In Stock</v>
      </c>
      <c r="N45" s="10" t="s">
        <v>52</v>
      </c>
      <c r="O45" s="13" t="n">
        <v>45422</v>
      </c>
    </row>
    <row r="46" customFormat="false" ht="18" hidden="false" customHeight="true" outlineLevel="0" collapsed="false">
      <c r="A46" s="4" t="s">
        <v>168</v>
      </c>
      <c r="B46" s="5" t="s">
        <v>169</v>
      </c>
      <c r="C46" s="4" t="s">
        <v>170</v>
      </c>
      <c r="D46" s="4" t="s">
        <v>171</v>
      </c>
      <c r="E46" s="4" t="s">
        <v>21</v>
      </c>
      <c r="F46" s="6" t="n">
        <v>8900</v>
      </c>
      <c r="G46" s="6" t="n">
        <v>15999</v>
      </c>
      <c r="H46" s="7" t="n">
        <f aca="false">ROUND((G46-F46)/F46*100,1)</f>
        <v>79.8</v>
      </c>
      <c r="I46" s="4" t="n">
        <v>80</v>
      </c>
      <c r="J46" s="4" t="n">
        <v>4</v>
      </c>
      <c r="K46" s="4" t="n">
        <v>1</v>
      </c>
      <c r="L46" s="6" t="n">
        <f aca="false">F46*I46</f>
        <v>712000</v>
      </c>
      <c r="M46" s="4" t="str">
        <f aca="false">IF(I46=0,"❌ Out of Stock",IF(I46&lt;=J46,"⚠ Low Stock","✅ In Stock"))</f>
        <v>✅ In Stock</v>
      </c>
      <c r="N46" s="5" t="s">
        <v>172</v>
      </c>
      <c r="O46" s="8" t="n">
        <v>45427</v>
      </c>
    </row>
    <row r="47" customFormat="false" ht="18" hidden="false" customHeight="true" outlineLevel="0" collapsed="false">
      <c r="A47" s="9" t="s">
        <v>173</v>
      </c>
      <c r="B47" s="10" t="s">
        <v>174</v>
      </c>
      <c r="C47" s="9" t="s">
        <v>34</v>
      </c>
      <c r="D47" s="9" t="s">
        <v>175</v>
      </c>
      <c r="E47" s="9" t="s">
        <v>21</v>
      </c>
      <c r="F47" s="11" t="n">
        <v>55</v>
      </c>
      <c r="G47" s="11" t="n">
        <v>129</v>
      </c>
      <c r="H47" s="12" t="n">
        <f aca="false">ROUND((G47-F47)/F47*100,1)</f>
        <v>134.5</v>
      </c>
      <c r="I47" s="9" t="n">
        <v>135</v>
      </c>
      <c r="J47" s="9" t="n">
        <v>30</v>
      </c>
      <c r="K47" s="9" t="n">
        <v>18</v>
      </c>
      <c r="L47" s="11" t="n">
        <f aca="false">F47*I47</f>
        <v>7425</v>
      </c>
      <c r="M47" s="9" t="str">
        <f aca="false">IF(I47=0,"❌ Out of Stock",IF(I47&lt;=J47,"⚠ Low Stock","✅ In Stock"))</f>
        <v>✅ In Stock</v>
      </c>
      <c r="N47" s="10" t="s">
        <v>22</v>
      </c>
      <c r="O47" s="13" t="n">
        <v>45427</v>
      </c>
    </row>
    <row r="48" customFormat="false" ht="18" hidden="false" customHeight="true" outlineLevel="0" collapsed="false">
      <c r="A48" s="4" t="s">
        <v>176</v>
      </c>
      <c r="B48" s="5" t="s">
        <v>177</v>
      </c>
      <c r="C48" s="4" t="s">
        <v>69</v>
      </c>
      <c r="D48" s="4" t="s">
        <v>70</v>
      </c>
      <c r="E48" s="4" t="s">
        <v>21</v>
      </c>
      <c r="F48" s="6" t="n">
        <v>1800</v>
      </c>
      <c r="G48" s="6" t="n">
        <v>3499</v>
      </c>
      <c r="H48" s="7" t="n">
        <f aca="false">ROUND((G48-F48)/F48*100,1)</f>
        <v>94.4</v>
      </c>
      <c r="I48" s="4" t="n">
        <v>94</v>
      </c>
      <c r="J48" s="4" t="n">
        <v>6</v>
      </c>
      <c r="K48" s="4" t="n">
        <v>3</v>
      </c>
      <c r="L48" s="6" t="n">
        <f aca="false">F48*I48</f>
        <v>169200</v>
      </c>
      <c r="M48" s="4" t="str">
        <f aca="false">IF(I48=0,"❌ Out of Stock",IF(I48&lt;=J48,"⚠ Low Stock","✅ In Stock"))</f>
        <v>✅ In Stock</v>
      </c>
      <c r="N48" s="5" t="s">
        <v>71</v>
      </c>
      <c r="O48" s="8" t="n">
        <v>45432</v>
      </c>
    </row>
    <row r="49" customFormat="false" ht="18" hidden="false" customHeight="true" outlineLevel="0" collapsed="false">
      <c r="A49" s="9" t="s">
        <v>178</v>
      </c>
      <c r="B49" s="10" t="s">
        <v>179</v>
      </c>
      <c r="C49" s="9" t="s">
        <v>34</v>
      </c>
      <c r="D49" s="9" t="s">
        <v>35</v>
      </c>
      <c r="E49" s="9" t="s">
        <v>21</v>
      </c>
      <c r="F49" s="11" t="n">
        <v>120</v>
      </c>
      <c r="G49" s="11" t="n">
        <v>249</v>
      </c>
      <c r="H49" s="12" t="n">
        <f aca="false">ROUND((G49-F49)/F49*100,1)</f>
        <v>107.5</v>
      </c>
      <c r="I49" s="9" t="n">
        <v>108</v>
      </c>
      <c r="J49" s="9" t="n">
        <v>60</v>
      </c>
      <c r="K49" s="9" t="n">
        <v>38</v>
      </c>
      <c r="L49" s="11" t="n">
        <f aca="false">F49*I49</f>
        <v>12960</v>
      </c>
      <c r="M49" s="9" t="str">
        <f aca="false">IF(I49=0,"❌ Out of Stock",IF(I49&lt;=J49,"⚠ Low Stock","✅ In Stock"))</f>
        <v>✅ In Stock</v>
      </c>
      <c r="N49" s="10" t="s">
        <v>36</v>
      </c>
      <c r="O49" s="13" t="n">
        <v>45432</v>
      </c>
    </row>
    <row r="50" customFormat="false" ht="18" hidden="false" customHeight="true" outlineLevel="0" collapsed="false">
      <c r="A50" s="4" t="s">
        <v>180</v>
      </c>
      <c r="B50" s="5" t="s">
        <v>181</v>
      </c>
      <c r="C50" s="4" t="s">
        <v>55</v>
      </c>
      <c r="D50" s="4" t="s">
        <v>182</v>
      </c>
      <c r="E50" s="4" t="s">
        <v>21</v>
      </c>
      <c r="F50" s="6" t="n">
        <v>17500</v>
      </c>
      <c r="G50" s="6" t="n">
        <v>29999</v>
      </c>
      <c r="H50" s="7" t="n">
        <f aca="false">ROUND((G50-F50)/F50*100,1)</f>
        <v>71.4</v>
      </c>
      <c r="I50" s="4" t="n">
        <v>71</v>
      </c>
      <c r="J50" s="4" t="n">
        <v>4</v>
      </c>
      <c r="K50" s="4" t="n">
        <v>1</v>
      </c>
      <c r="L50" s="6" t="n">
        <f aca="false">F50*I50</f>
        <v>1242500</v>
      </c>
      <c r="M50" s="4" t="str">
        <f aca="false">IF(I50=0,"❌ Out of Stock",IF(I50&lt;=J50,"⚠ Low Stock","✅ In Stock"))</f>
        <v>✅ In Stock</v>
      </c>
      <c r="N50" s="5" t="s">
        <v>183</v>
      </c>
      <c r="O50" s="8" t="n">
        <v>45444</v>
      </c>
    </row>
    <row r="51" customFormat="false" ht="18" hidden="false" customHeight="true" outlineLevel="0" collapsed="false">
      <c r="A51" s="9" t="s">
        <v>184</v>
      </c>
      <c r="B51" s="10" t="s">
        <v>185</v>
      </c>
      <c r="C51" s="9" t="s">
        <v>55</v>
      </c>
      <c r="D51" s="9" t="s">
        <v>186</v>
      </c>
      <c r="E51" s="9" t="s">
        <v>21</v>
      </c>
      <c r="F51" s="11" t="n">
        <v>9800</v>
      </c>
      <c r="G51" s="11" t="n">
        <v>17999</v>
      </c>
      <c r="H51" s="12" t="n">
        <f aca="false">ROUND((G51-F51)/F51*100,1)</f>
        <v>83.7</v>
      </c>
      <c r="I51" s="9" t="n">
        <v>84</v>
      </c>
      <c r="J51" s="9" t="n">
        <v>5</v>
      </c>
      <c r="K51" s="9" t="n">
        <v>2</v>
      </c>
      <c r="L51" s="11" t="n">
        <f aca="false">F51*I51</f>
        <v>823200</v>
      </c>
      <c r="M51" s="9" t="str">
        <f aca="false">IF(I51=0,"❌ Out of Stock",IF(I51&lt;=J51,"⚠ Low Stock","✅ In Stock"))</f>
        <v>✅ In Stock</v>
      </c>
      <c r="N51" s="10" t="s">
        <v>187</v>
      </c>
      <c r="O51" s="13" t="n">
        <v>45444</v>
      </c>
    </row>
    <row r="52" customFormat="false" ht="18" hidden="false" customHeight="true" outlineLevel="0" collapsed="false">
      <c r="A52" s="4" t="s">
        <v>188</v>
      </c>
      <c r="B52" s="5" t="s">
        <v>189</v>
      </c>
      <c r="C52" s="4" t="s">
        <v>19</v>
      </c>
      <c r="D52" s="4" t="s">
        <v>190</v>
      </c>
      <c r="E52" s="4" t="s">
        <v>21</v>
      </c>
      <c r="F52" s="6" t="n">
        <v>350</v>
      </c>
      <c r="G52" s="6" t="n">
        <v>699</v>
      </c>
      <c r="H52" s="7" t="n">
        <f aca="false">ROUND((G52-F52)/F52*100,1)</f>
        <v>99.7</v>
      </c>
      <c r="I52" s="4" t="n">
        <v>100</v>
      </c>
      <c r="J52" s="4" t="n">
        <v>15</v>
      </c>
      <c r="K52" s="4" t="n">
        <v>8</v>
      </c>
      <c r="L52" s="6" t="n">
        <f aca="false">F52*I52</f>
        <v>35000</v>
      </c>
      <c r="M52" s="4" t="str">
        <f aca="false">IF(I52=0,"❌ Out of Stock",IF(I52&lt;=J52,"⚠ Low Stock","✅ In Stock"))</f>
        <v>✅ In Stock</v>
      </c>
      <c r="N52" s="5" t="s">
        <v>191</v>
      </c>
      <c r="O52" s="8" t="n">
        <v>45448</v>
      </c>
    </row>
    <row r="53" customFormat="false" ht="18" hidden="false" customHeight="true" outlineLevel="0" collapsed="false">
      <c r="A53" s="9" t="s">
        <v>192</v>
      </c>
      <c r="B53" s="10" t="s">
        <v>193</v>
      </c>
      <c r="C53" s="9" t="s">
        <v>194</v>
      </c>
      <c r="D53" s="9" t="s">
        <v>195</v>
      </c>
      <c r="E53" s="9" t="s">
        <v>21</v>
      </c>
      <c r="F53" s="11" t="n">
        <v>1200</v>
      </c>
      <c r="G53" s="11" t="n">
        <v>2299</v>
      </c>
      <c r="H53" s="12" t="n">
        <f aca="false">ROUND((G53-F53)/F53*100,1)</f>
        <v>91.6</v>
      </c>
      <c r="I53" s="9" t="n">
        <v>92</v>
      </c>
      <c r="J53" s="9" t="n">
        <v>8</v>
      </c>
      <c r="K53" s="9" t="n">
        <v>4</v>
      </c>
      <c r="L53" s="11" t="n">
        <f aca="false">F53*I53</f>
        <v>110400</v>
      </c>
      <c r="M53" s="9" t="str">
        <f aca="false">IF(I53=0,"❌ Out of Stock",IF(I53&lt;=J53,"⚠ Low Stock","✅ In Stock"))</f>
        <v>✅ In Stock</v>
      </c>
      <c r="N53" s="10" t="s">
        <v>196</v>
      </c>
      <c r="O53" s="13" t="n">
        <v>45448</v>
      </c>
    </row>
    <row r="54" customFormat="false" ht="15" hidden="false" customHeight="false" outlineLevel="0" collapsed="false">
      <c r="A54" s="14" t="s">
        <v>197</v>
      </c>
      <c r="B54" s="14"/>
      <c r="C54" s="14"/>
      <c r="D54" s="14"/>
      <c r="E54" s="14"/>
      <c r="F54" s="15"/>
      <c r="G54" s="15"/>
      <c r="H54" s="15"/>
      <c r="I54" s="16" t="n">
        <f aca="false">SUM(I4:I53)</f>
        <v>4550</v>
      </c>
      <c r="J54" s="15"/>
      <c r="K54" s="16" t="n">
        <f aca="false">SUM(K4:K53)</f>
        <v>490</v>
      </c>
      <c r="L54" s="17" t="n">
        <f aca="false">SUM(L4:L53)</f>
        <v>9620750</v>
      </c>
    </row>
  </sheetData>
  <autoFilter ref="A3:O53"/>
  <mergeCells count="3">
    <mergeCell ref="A1:O1"/>
    <mergeCell ref="A2:O2"/>
    <mergeCell ref="A54:E54"/>
  </mergeCells>
  <conditionalFormatting sqref="M4:M53">
    <cfRule type="colorScale" priority="2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conditionalFormatting sqref="L4:L53">
    <cfRule type="dataBar" priority="3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{90BCA027-C8F3-47D0-A2D9-C1E65662DCB3}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BCA027-C8F3-47D0-A2D9-C1E65662DCB3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L4:L53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"/>
    <col collapsed="false" customWidth="true" hidden="false" outlineLevel="0" max="5" min="4" style="0" width="14"/>
    <col collapsed="false" customWidth="true" hidden="false" outlineLevel="0" max="6" min="6" style="0" width="2"/>
    <col collapsed="false" customWidth="true" hidden="false" outlineLevel="0" max="8" min="7" style="0" width="14"/>
    <col collapsed="false" customWidth="true" hidden="false" outlineLevel="0" max="9" min="9" style="0" width="2"/>
    <col collapsed="false" customWidth="true" hidden="false" outlineLevel="0" max="11" min="10" style="0" width="14"/>
    <col collapsed="false" customWidth="true" hidden="false" outlineLevel="0" max="12" min="12" style="0" width="2"/>
  </cols>
  <sheetData>
    <row r="1" customFormat="false" ht="43.5" hidden="false" customHeight="true" outlineLevel="0" collapsed="false">
      <c r="A1" s="18" t="s">
        <v>198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9.5" hidden="false" customHeight="tru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19" t="s">
        <v>200</v>
      </c>
      <c r="B4" s="19"/>
      <c r="C4" s="19"/>
      <c r="D4" s="20" t="s">
        <v>201</v>
      </c>
      <c r="E4" s="20"/>
      <c r="F4" s="20"/>
      <c r="G4" s="21" t="s">
        <v>202</v>
      </c>
      <c r="H4" s="21"/>
      <c r="I4" s="21"/>
      <c r="J4" s="22" t="s">
        <v>203</v>
      </c>
      <c r="K4" s="22"/>
      <c r="L4" s="22"/>
    </row>
    <row r="5" customFormat="false" ht="36" hidden="false" customHeight="true" outlineLevel="0" collapsed="false">
      <c r="A5" s="23" t="n">
        <f aca="false">COUNTA('Inventory Database'!A4:A53)</f>
        <v>50</v>
      </c>
      <c r="B5" s="23"/>
      <c r="C5" s="23"/>
      <c r="D5" s="24" t="n">
        <f aca="false">SUM('Inventory Database'!L4:L53)</f>
        <v>9620750</v>
      </c>
      <c r="E5" s="24"/>
      <c r="F5" s="24"/>
      <c r="G5" s="25" t="n">
        <f aca="false">COUNTIF('Inventory Database'!M4:M53,"⚠ Low Stock")</f>
        <v>0</v>
      </c>
      <c r="H5" s="25"/>
      <c r="I5" s="25"/>
      <c r="J5" s="26" t="n">
        <f aca="false">COUNTIF('Inventory Database'!M4:M53,"❌ Out of Stock")</f>
        <v>0</v>
      </c>
      <c r="K5" s="26"/>
      <c r="L5" s="26"/>
    </row>
    <row r="6" customFormat="false" ht="19.5" hidden="false" customHeight="true" outlineLevel="0" collapsed="false">
      <c r="A6" s="27" t="s">
        <v>204</v>
      </c>
      <c r="B6" s="27"/>
      <c r="C6" s="27"/>
      <c r="D6" s="28" t="s">
        <v>205</v>
      </c>
      <c r="E6" s="28"/>
      <c r="F6" s="28"/>
      <c r="G6" s="29" t="s">
        <v>206</v>
      </c>
      <c r="H6" s="29"/>
      <c r="I6" s="29"/>
      <c r="J6" s="30" t="s">
        <v>207</v>
      </c>
      <c r="K6" s="30"/>
      <c r="L6" s="30"/>
    </row>
    <row r="8" customFormat="false" ht="25.5" hidden="false" customHeight="true" outlineLevel="0" collapsed="false">
      <c r="A8" s="31" t="s">
        <v>208</v>
      </c>
      <c r="B8" s="31"/>
      <c r="C8" s="31"/>
      <c r="D8" s="31"/>
      <c r="E8" s="31"/>
      <c r="F8" s="31"/>
      <c r="H8" s="31" t="s">
        <v>209</v>
      </c>
      <c r="I8" s="31"/>
      <c r="J8" s="31"/>
      <c r="K8" s="31"/>
      <c r="L8" s="31"/>
    </row>
    <row r="9" customFormat="false" ht="15" hidden="false" customHeight="false" outlineLevel="0" collapsed="false">
      <c r="A9" s="32" t="s">
        <v>4</v>
      </c>
      <c r="B9" s="32" t="s">
        <v>210</v>
      </c>
      <c r="C9" s="32" t="s">
        <v>211</v>
      </c>
      <c r="D9" s="32" t="s">
        <v>212</v>
      </c>
      <c r="E9" s="32" t="s">
        <v>213</v>
      </c>
      <c r="F9" s="32" t="s">
        <v>214</v>
      </c>
      <c r="G9" s="33" t="n">
        <f aca="false">SUM('Inventory Database'!L4:L53)</f>
        <v>9620750</v>
      </c>
      <c r="H9" s="32" t="s">
        <v>15</v>
      </c>
      <c r="I9" s="32" t="s">
        <v>210</v>
      </c>
      <c r="J9" s="32" t="s">
        <v>212</v>
      </c>
      <c r="K9" s="32" t="s">
        <v>215</v>
      </c>
      <c r="L9" s="32" t="s">
        <v>14</v>
      </c>
    </row>
    <row r="10" customFormat="false" ht="18" hidden="false" customHeight="true" outlineLevel="0" collapsed="false">
      <c r="A10" s="34" t="s">
        <v>19</v>
      </c>
      <c r="B10" s="4" t="n">
        <f aca="false">COUNTIF('Inventory Database'!C4:C53,A10)</f>
        <v>7</v>
      </c>
      <c r="C10" s="4" t="n">
        <f aca="false">SUMIF('Inventory Database'!C4:C53,A10,'Inventory Database'!I4:I53)</f>
        <v>615</v>
      </c>
      <c r="D10" s="6" t="n">
        <f aca="false">SUMIF('Inventory Database'!C4:C53,A10,'Inventory Database'!L4:L53)</f>
        <v>894780</v>
      </c>
      <c r="E10" s="6" t="n">
        <f aca="false">IFERROR(AVERAGEIF('Inventory Database'!C4:C53,A10,'Inventory Database'!G4:G53),0)</f>
        <v>2784.71428571429</v>
      </c>
      <c r="F10" s="35" t="n">
        <f aca="false">IFERROR(D10/SUM(D10:D20),0)</f>
        <v>0.0930052230855183</v>
      </c>
      <c r="H10" s="5" t="s">
        <v>36</v>
      </c>
      <c r="I10" s="4" t="n">
        <f aca="false">COUNTIF('Inventory Database'!N4:N53,H10)</f>
        <v>4</v>
      </c>
      <c r="J10" s="6" t="n">
        <f aca="false">SUMIF('Inventory Database'!N4:N53,H10,'Inventory Database'!L4:L53)</f>
        <v>319920</v>
      </c>
      <c r="K10" s="7" t="n">
        <f aca="false">IFERROR(AVERAGEIF('Inventory Database'!N4:N53,H10,'Inventory Database'!H4:H53),0)</f>
        <v>96.375</v>
      </c>
      <c r="L10" s="4" t="str">
        <f aca="false">IF(I10&gt;0,"Active","—")</f>
        <v>Active</v>
      </c>
    </row>
    <row r="11" customFormat="false" ht="18" hidden="false" customHeight="true" outlineLevel="0" collapsed="false">
      <c r="A11" s="36" t="s">
        <v>29</v>
      </c>
      <c r="B11" s="9" t="n">
        <f aca="false">COUNTIF('Inventory Database'!C4:C53,A11)</f>
        <v>1</v>
      </c>
      <c r="C11" s="9" t="n">
        <f aca="false">SUMIF('Inventory Database'!C4:C53,A11,'Inventory Database'!I4:I53)</f>
        <v>65</v>
      </c>
      <c r="D11" s="11" t="n">
        <f aca="false">SUMIF('Inventory Database'!C4:C53,A11,'Inventory Database'!L4:L53)</f>
        <v>552500</v>
      </c>
      <c r="E11" s="11" t="n">
        <f aca="false">IFERROR(AVERAGEIF('Inventory Database'!C4:C53,A11,'Inventory Database'!G4:G53),0)</f>
        <v>13995</v>
      </c>
      <c r="F11" s="37" t="n">
        <f aca="false">IFERROR(D11/SUM(D10:D20),0)</f>
        <v>0.0574279552009978</v>
      </c>
      <c r="H11" s="10" t="s">
        <v>71</v>
      </c>
      <c r="I11" s="9" t="n">
        <f aca="false">COUNTIF('Inventory Database'!N4:N53,H11)</f>
        <v>4</v>
      </c>
      <c r="J11" s="11" t="n">
        <f aca="false">SUMIF('Inventory Database'!N4:N53,H11,'Inventory Database'!L4:L53)</f>
        <v>370465</v>
      </c>
      <c r="K11" s="12" t="n">
        <f aca="false">IFERROR(AVERAGEIF('Inventory Database'!N4:N53,H11,'Inventory Database'!H4:H53),0)</f>
        <v>92.75</v>
      </c>
      <c r="L11" s="9" t="str">
        <f aca="false">IF(I11&gt;0,"Active","—")</f>
        <v>Active</v>
      </c>
    </row>
    <row r="12" customFormat="false" ht="18" hidden="false" customHeight="true" outlineLevel="0" collapsed="false">
      <c r="A12" s="34" t="s">
        <v>34</v>
      </c>
      <c r="B12" s="4" t="n">
        <f aca="false">COUNTIF('Inventory Database'!C4:C53,A12)</f>
        <v>18</v>
      </c>
      <c r="C12" s="4" t="n">
        <f aca="false">SUMIF('Inventory Database'!C4:C53,A12,'Inventory Database'!I4:I53)</f>
        <v>1786</v>
      </c>
      <c r="D12" s="6" t="n">
        <f aca="false">SUMIF('Inventory Database'!C4:C53,A12,'Inventory Database'!L4:L53)</f>
        <v>1342010</v>
      </c>
      <c r="E12" s="6" t="n">
        <f aca="false">IFERROR(AVERAGEIF('Inventory Database'!C4:C53,A12,'Inventory Database'!G4:G53),0)</f>
        <v>1556.22222222222</v>
      </c>
      <c r="F12" s="35" t="n">
        <f aca="false">IFERROR(D12/SUM(D10:D20),0)</f>
        <v>0.139491203908219</v>
      </c>
      <c r="H12" s="5" t="s">
        <v>52</v>
      </c>
      <c r="I12" s="4" t="n">
        <f aca="false">COUNTIF('Inventory Database'!N4:N53,H12)</f>
        <v>5</v>
      </c>
      <c r="J12" s="6" t="n">
        <f aca="false">SUMIF('Inventory Database'!N4:N53,H12,'Inventory Database'!L4:L53)</f>
        <v>118305</v>
      </c>
      <c r="K12" s="7" t="n">
        <f aca="false">IFERROR(AVERAGEIF('Inventory Database'!N4:N53,H12,'Inventory Database'!H4:H53),0)</f>
        <v>101.44</v>
      </c>
      <c r="L12" s="4" t="str">
        <f aca="false">IF(I12&gt;0,"Active","—")</f>
        <v>Active</v>
      </c>
    </row>
    <row r="13" customFormat="false" ht="18" hidden="false" customHeight="true" outlineLevel="0" collapsed="false">
      <c r="A13" s="36" t="s">
        <v>39</v>
      </c>
      <c r="B13" s="9" t="n">
        <f aca="false">COUNTIF('Inventory Database'!C4:C53,A13)</f>
        <v>3</v>
      </c>
      <c r="C13" s="9" t="n">
        <f aca="false">SUMIF('Inventory Database'!C4:C53,A13,'Inventory Database'!I4:I53)</f>
        <v>256</v>
      </c>
      <c r="D13" s="11" t="n">
        <f aca="false">SUMIF('Inventory Database'!C4:C53,A13,'Inventory Database'!L4:L53)</f>
        <v>938400</v>
      </c>
      <c r="E13" s="11" t="n">
        <f aca="false">IFERROR(AVERAGEIF('Inventory Database'!C4:C53,A13,'Inventory Database'!G4:G53),0)</f>
        <v>6832.33333333333</v>
      </c>
      <c r="F13" s="37" t="n">
        <f aca="false">IFERROR(D13/SUM(D10:D20),0)</f>
        <v>0.0975391731413871</v>
      </c>
      <c r="H13" s="10" t="s">
        <v>26</v>
      </c>
      <c r="I13" s="9" t="n">
        <f aca="false">COUNTIF('Inventory Database'!N4:N53,H13)</f>
        <v>2</v>
      </c>
      <c r="J13" s="11" t="n">
        <f aca="false">SUMIF('Inventory Database'!N4:N53,H13,'Inventory Database'!L4:L53)</f>
        <v>212820</v>
      </c>
      <c r="K13" s="12" t="n">
        <f aca="false">IFERROR(AVERAGEIF('Inventory Database'!N4:N53,H13,'Inventory Database'!H4:H53),0)</f>
        <v>85.1</v>
      </c>
      <c r="L13" s="9" t="str">
        <f aca="false">IF(I13&gt;0,"Active","—")</f>
        <v>Active</v>
      </c>
    </row>
    <row r="14" customFormat="false" ht="18" hidden="false" customHeight="true" outlineLevel="0" collapsed="false">
      <c r="A14" s="34" t="s">
        <v>44</v>
      </c>
      <c r="B14" s="4" t="n">
        <f aca="false">COUNTIF('Inventory Database'!C4:C53,A14)</f>
        <v>4</v>
      </c>
      <c r="C14" s="4" t="n">
        <f aca="false">SUMIF('Inventory Database'!C4:C53,A14,'Inventory Database'!I4:I53)</f>
        <v>332</v>
      </c>
      <c r="D14" s="6" t="n">
        <f aca="false">SUMIF('Inventory Database'!C4:C53,A14,'Inventory Database'!L4:L53)</f>
        <v>642320</v>
      </c>
      <c r="E14" s="6" t="n">
        <f aca="false">IFERROR(AVERAGEIF('Inventory Database'!C4:C53,A14,'Inventory Database'!G4:G53),0)</f>
        <v>3549</v>
      </c>
      <c r="F14" s="35" t="n">
        <f aca="false">IFERROR(D14/SUM(D10:D20),0)</f>
        <v>0.0667640256736741</v>
      </c>
      <c r="H14" s="5" t="s">
        <v>31</v>
      </c>
      <c r="I14" s="4" t="n">
        <f aca="false">COUNTIF('Inventory Database'!N4:N53,H14)</f>
        <v>2</v>
      </c>
      <c r="J14" s="6" t="n">
        <f aca="false">SUMIF('Inventory Database'!N4:N53,H14,'Inventory Database'!L4:L53)</f>
        <v>732900</v>
      </c>
      <c r="K14" s="7" t="n">
        <f aca="false">IFERROR(AVERAGEIF('Inventory Database'!N4:N53,H14,'Inventory Database'!H4:H53),0)</f>
        <v>73.2</v>
      </c>
      <c r="L14" s="4" t="str">
        <f aca="false">IF(I14&gt;0,"Active","—")</f>
        <v>Active</v>
      </c>
    </row>
    <row r="15" customFormat="false" ht="18" hidden="false" customHeight="true" outlineLevel="0" collapsed="false">
      <c r="A15" s="36" t="s">
        <v>55</v>
      </c>
      <c r="B15" s="9" t="n">
        <f aca="false">COUNTIF('Inventory Database'!C4:C53,A15)</f>
        <v>8</v>
      </c>
      <c r="C15" s="9" t="n">
        <f aca="false">SUMIF('Inventory Database'!C4:C53,A15,'Inventory Database'!I4:I53)</f>
        <v>686</v>
      </c>
      <c r="D15" s="11" t="n">
        <f aca="false">SUMIF('Inventory Database'!C4:C53,A15,'Inventory Database'!L4:L53)</f>
        <v>2914575</v>
      </c>
      <c r="E15" s="11" t="n">
        <f aca="false">IFERROR(AVERAGEIF('Inventory Database'!C4:C53,A15,'Inventory Database'!G4:G53),0)</f>
        <v>8336.5</v>
      </c>
      <c r="F15" s="37" t="n">
        <f aca="false">IFERROR(D15/SUM(D10:D20),0)</f>
        <v>0.302946755710314</v>
      </c>
      <c r="H15" s="10" t="s">
        <v>22</v>
      </c>
      <c r="I15" s="9" t="n">
        <f aca="false">COUNTIF('Inventory Database'!N4:N53,H15)</f>
        <v>3</v>
      </c>
      <c r="J15" s="11" t="n">
        <f aca="false">SUMIF('Inventory Database'!N4:N53,H15,'Inventory Database'!L4:L53)</f>
        <v>132305</v>
      </c>
      <c r="K15" s="12" t="n">
        <f aca="false">IFERROR(AVERAGEIF('Inventory Database'!N4:N53,H15,'Inventory Database'!H4:H53),0)</f>
        <v>107.3</v>
      </c>
      <c r="L15" s="9" t="str">
        <f aca="false">IF(I15&gt;0,"Active","—")</f>
        <v>Active</v>
      </c>
    </row>
    <row r="16" customFormat="false" ht="18" hidden="false" customHeight="true" outlineLevel="0" collapsed="false">
      <c r="A16" s="34" t="s">
        <v>69</v>
      </c>
      <c r="B16" s="4" t="n">
        <f aca="false">COUNTIF('Inventory Database'!C4:C53,A16)</f>
        <v>4</v>
      </c>
      <c r="C16" s="4" t="n">
        <f aca="false">SUMIF('Inventory Database'!C4:C53,A16,'Inventory Database'!I4:I53)</f>
        <v>371</v>
      </c>
      <c r="D16" s="6" t="n">
        <f aca="false">SUMIF('Inventory Database'!C4:C53,A16,'Inventory Database'!L4:L53)</f>
        <v>370465</v>
      </c>
      <c r="E16" s="6" t="n">
        <f aca="false">IFERROR(AVERAGEIF('Inventory Database'!C4:C53,A16,'Inventory Database'!G4:G53),0)</f>
        <v>1911.5</v>
      </c>
      <c r="F16" s="35" t="n">
        <f aca="false">IFERROR(D16/SUM(D10:D20),0)</f>
        <v>0.0385068731647741</v>
      </c>
      <c r="H16" s="5" t="s">
        <v>103</v>
      </c>
      <c r="I16" s="4" t="n">
        <f aca="false">COUNTIF('Inventory Database'!N4:N53,H16)</f>
        <v>2</v>
      </c>
      <c r="J16" s="6" t="n">
        <f aca="false">SUMIF('Inventory Database'!N4:N53,H16,'Inventory Database'!L4:L53)</f>
        <v>432600</v>
      </c>
      <c r="K16" s="7" t="n">
        <f aca="false">IFERROR(AVERAGEIF('Inventory Database'!N4:N53,H16,'Inventory Database'!H4:H53),0)</f>
        <v>87.5</v>
      </c>
      <c r="L16" s="4" t="str">
        <f aca="false">IF(I16&gt;0,"Active","—")</f>
        <v>Active</v>
      </c>
    </row>
    <row r="17" customFormat="false" ht="18" hidden="false" customHeight="true" outlineLevel="0" collapsed="false">
      <c r="A17" s="36" t="s">
        <v>64</v>
      </c>
      <c r="B17" s="9" t="n">
        <f aca="false">COUNTIF('Inventory Database'!C4:C53,A17)</f>
        <v>2</v>
      </c>
      <c r="C17" s="9" t="n">
        <f aca="false">SUMIF('Inventory Database'!C4:C53,A17,'Inventory Database'!I4:I53)</f>
        <v>157</v>
      </c>
      <c r="D17" s="11" t="n">
        <f aca="false">SUMIF('Inventory Database'!C4:C53,A17,'Inventory Database'!L4:L53)</f>
        <v>1101500</v>
      </c>
      <c r="E17" s="11" t="n">
        <f aca="false">IFERROR(AVERAGEIF('Inventory Database'!C4:C53,A17,'Inventory Database'!G4:G53),0)</f>
        <v>12499</v>
      </c>
      <c r="F17" s="37" t="n">
        <f aca="false">IFERROR(D17/SUM(D10:D20),0)</f>
        <v>0.114492113400722</v>
      </c>
      <c r="H17" s="10" t="s">
        <v>107</v>
      </c>
      <c r="I17" s="9" t="n">
        <f aca="false">COUNTIF('Inventory Database'!N4:N53,H17)</f>
        <v>2</v>
      </c>
      <c r="J17" s="11" t="n">
        <f aca="false">SUMIF('Inventory Database'!N4:N53,H17,'Inventory Database'!L4:L53)</f>
        <v>94800</v>
      </c>
      <c r="K17" s="12" t="n">
        <f aca="false">IFERROR(AVERAGEIF('Inventory Database'!N4:N53,H17,'Inventory Database'!H4:H53),0)</f>
        <v>100.3</v>
      </c>
      <c r="L17" s="9" t="str">
        <f aca="false">IF(I17&gt;0,"Active","—")</f>
        <v>Active</v>
      </c>
    </row>
    <row r="18" customFormat="false" ht="18" hidden="false" customHeight="true" outlineLevel="0" collapsed="false">
      <c r="A18" s="34" t="s">
        <v>134</v>
      </c>
      <c r="B18" s="4" t="n">
        <f aca="false">COUNTIF('Inventory Database'!C4:C53,A18)</f>
        <v>1</v>
      </c>
      <c r="C18" s="4" t="n">
        <f aca="false">SUMIF('Inventory Database'!C4:C53,A18,'Inventory Database'!I4:I53)</f>
        <v>110</v>
      </c>
      <c r="D18" s="6" t="n">
        <f aca="false">SUMIF('Inventory Database'!C4:C53,A18,'Inventory Database'!L4:L53)</f>
        <v>41800</v>
      </c>
      <c r="E18" s="6" t="n">
        <f aca="false">IFERROR(AVERAGEIF('Inventory Database'!C4:C53,A18,'Inventory Database'!G4:G53),0)</f>
        <v>799</v>
      </c>
      <c r="F18" s="35" t="n">
        <f aca="false">IFERROR(D18/SUM(D10:D20),0)</f>
        <v>0.00434477561520672</v>
      </c>
      <c r="H18" s="5" t="s">
        <v>77</v>
      </c>
      <c r="I18" s="4" t="n">
        <f aca="false">COUNTIF('Inventory Database'!N4:N53,H18)</f>
        <v>2</v>
      </c>
      <c r="J18" s="6" t="n">
        <f aca="false">SUMIF('Inventory Database'!N4:N53,H18,'Inventory Database'!L4:L53)</f>
        <v>61975</v>
      </c>
      <c r="K18" s="7" t="n">
        <f aca="false">IFERROR(AVERAGEIF('Inventory Database'!N4:N53,H18,'Inventory Database'!H4:H53),0)</f>
        <v>99.5</v>
      </c>
      <c r="L18" s="4" t="str">
        <f aca="false">IF(I18&gt;0,"Active","—")</f>
        <v>Active</v>
      </c>
    </row>
    <row r="19" customFormat="false" ht="18" hidden="false" customHeight="true" outlineLevel="0" collapsed="false">
      <c r="A19" s="36" t="s">
        <v>170</v>
      </c>
      <c r="B19" s="9" t="n">
        <f aca="false">COUNTIF('Inventory Database'!C4:C53,A19)</f>
        <v>1</v>
      </c>
      <c r="C19" s="9" t="n">
        <f aca="false">SUMIF('Inventory Database'!C4:C53,A19,'Inventory Database'!I4:I53)</f>
        <v>80</v>
      </c>
      <c r="D19" s="11" t="n">
        <f aca="false">SUMIF('Inventory Database'!C4:C53,A19,'Inventory Database'!L4:L53)</f>
        <v>712000</v>
      </c>
      <c r="E19" s="11" t="n">
        <f aca="false">IFERROR(AVERAGEIF('Inventory Database'!C4:C53,A19,'Inventory Database'!G4:G53),0)</f>
        <v>15999</v>
      </c>
      <c r="F19" s="37" t="n">
        <f aca="false">IFERROR(D19/SUM(D10:D20),0)</f>
        <v>0.0740067042590235</v>
      </c>
      <c r="H19" s="10" t="s">
        <v>113</v>
      </c>
      <c r="I19" s="9" t="n">
        <f aca="false">COUNTIF('Inventory Database'!N4:N53,H19)</f>
        <v>2</v>
      </c>
      <c r="J19" s="11" t="n">
        <f aca="false">SUMIF('Inventory Database'!N4:N53,H19,'Inventory Database'!L4:L53)</f>
        <v>182280</v>
      </c>
      <c r="K19" s="12" t="n">
        <f aca="false">IFERROR(AVERAGEIF('Inventory Database'!N4:N53,H19,'Inventory Database'!H4:H53),0)</f>
        <v>88.3</v>
      </c>
      <c r="L19" s="9" t="str">
        <f aca="false">IF(I19&gt;0,"Active","—")</f>
        <v>Active</v>
      </c>
    </row>
    <row r="20" customFormat="false" ht="18" hidden="false" customHeight="true" outlineLevel="0" collapsed="false">
      <c r="A20" s="34" t="s">
        <v>194</v>
      </c>
      <c r="B20" s="4" t="n">
        <f aca="false">COUNTIF('Inventory Database'!C4:C53,A20)</f>
        <v>1</v>
      </c>
      <c r="C20" s="4" t="n">
        <f aca="false">SUMIF('Inventory Database'!C4:C53,A20,'Inventory Database'!I4:I53)</f>
        <v>92</v>
      </c>
      <c r="D20" s="6" t="n">
        <f aca="false">SUMIF('Inventory Database'!C4:C53,A20,'Inventory Database'!L4:L53)</f>
        <v>110400</v>
      </c>
      <c r="E20" s="6" t="n">
        <f aca="false">IFERROR(AVERAGEIF('Inventory Database'!C4:C53,A20,'Inventory Database'!G4:G53),0)</f>
        <v>2299</v>
      </c>
      <c r="F20" s="35" t="n">
        <f aca="false">IFERROR(D20/SUM(D10:D20),0)</f>
        <v>0.0114751968401632</v>
      </c>
    </row>
    <row r="21" customFormat="false" ht="19.5" hidden="false" customHeight="true" outlineLevel="0" collapsed="false">
      <c r="A21" s="38" t="s">
        <v>216</v>
      </c>
      <c r="B21" s="38" t="n">
        <f aca="false">SUM(B10:B20)</f>
        <v>50</v>
      </c>
      <c r="C21" s="38" t="n">
        <f aca="false">SUM(C10:C20)</f>
        <v>4550</v>
      </c>
      <c r="D21" s="39" t="n">
        <f aca="false">SUM(D10:D20)</f>
        <v>9620750</v>
      </c>
      <c r="E21" s="38"/>
      <c r="F21" s="38" t="s">
        <v>217</v>
      </c>
    </row>
  </sheetData>
  <mergeCells count="16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F8"/>
    <mergeCell ref="H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T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8"/>
  </cols>
  <sheetData>
    <row r="1" customFormat="false" ht="43.5" hidden="false" customHeight="true" outlineLevel="0" collapsed="false">
      <c r="A1" s="18" t="s">
        <v>218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R1" s="33" t="s">
        <v>4</v>
      </c>
      <c r="S1" s="33" t="s">
        <v>219</v>
      </c>
      <c r="T1" s="33" t="s">
        <v>10</v>
      </c>
    </row>
    <row r="2" customFormat="false" ht="19.5" hidden="false" customHeight="true" outlineLevel="0" collapsed="false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33" t="s">
        <v>19</v>
      </c>
      <c r="S2" s="40" t="n">
        <f aca="false">Summary!D10</f>
        <v>894780</v>
      </c>
      <c r="T2" s="33" t="n">
        <f aca="false">Summary!C10</f>
        <v>615</v>
      </c>
    </row>
    <row r="3" customFormat="false" ht="15" hidden="false" customHeight="false" outlineLevel="0" collapsed="false">
      <c r="R3" s="0" t="s">
        <v>29</v>
      </c>
      <c r="S3" s="40" t="n">
        <f aca="false">Summary!D11</f>
        <v>552500</v>
      </c>
      <c r="T3" s="33" t="n">
        <f aca="false">Summary!C11</f>
        <v>65</v>
      </c>
    </row>
    <row r="4" customFormat="false" ht="15" hidden="false" customHeight="false" outlineLevel="0" collapsed="false">
      <c r="R4" s="0" t="s">
        <v>34</v>
      </c>
      <c r="S4" s="40" t="n">
        <f aca="false">Summary!D12</f>
        <v>1342010</v>
      </c>
      <c r="T4" s="33" t="n">
        <f aca="false">Summary!C12</f>
        <v>1786</v>
      </c>
    </row>
    <row r="5" customFormat="false" ht="15" hidden="false" customHeight="false" outlineLevel="0" collapsed="false">
      <c r="R5" s="0" t="s">
        <v>39</v>
      </c>
      <c r="S5" s="40" t="n">
        <f aca="false">Summary!D13</f>
        <v>938400</v>
      </c>
      <c r="T5" s="33" t="n">
        <f aca="false">Summary!C13</f>
        <v>256</v>
      </c>
    </row>
    <row r="6" customFormat="false" ht="15" hidden="false" customHeight="false" outlineLevel="0" collapsed="false">
      <c r="R6" s="0" t="s">
        <v>44</v>
      </c>
      <c r="S6" s="40" t="n">
        <f aca="false">Summary!D14</f>
        <v>642320</v>
      </c>
      <c r="T6" s="33" t="n">
        <f aca="false">Summary!C14</f>
        <v>332</v>
      </c>
    </row>
    <row r="7" customFormat="false" ht="15" hidden="false" customHeight="false" outlineLevel="0" collapsed="false">
      <c r="R7" s="0" t="s">
        <v>55</v>
      </c>
      <c r="S7" s="40" t="n">
        <f aca="false">Summary!D15</f>
        <v>2914575</v>
      </c>
      <c r="T7" s="33" t="n">
        <f aca="false">Summary!C15</f>
        <v>686</v>
      </c>
    </row>
    <row r="8" customFormat="false" ht="15" hidden="false" customHeight="false" outlineLevel="0" collapsed="false">
      <c r="R8" s="0" t="s">
        <v>69</v>
      </c>
      <c r="S8" s="40" t="n">
        <f aca="false">Summary!D16</f>
        <v>370465</v>
      </c>
      <c r="T8" s="33" t="n">
        <f aca="false">Summary!C16</f>
        <v>371</v>
      </c>
    </row>
    <row r="9" customFormat="false" ht="15" hidden="false" customHeight="false" outlineLevel="0" collapsed="false">
      <c r="R9" s="0" t="s">
        <v>64</v>
      </c>
      <c r="S9" s="40" t="n">
        <f aca="false">Summary!D17</f>
        <v>1101500</v>
      </c>
      <c r="T9" s="33" t="n">
        <f aca="false">Summary!C17</f>
        <v>157</v>
      </c>
    </row>
    <row r="10" customFormat="false" ht="15" hidden="false" customHeight="false" outlineLevel="0" collapsed="false">
      <c r="R10" s="0" t="s">
        <v>134</v>
      </c>
      <c r="S10" s="40" t="n">
        <f aca="false">Summary!D18</f>
        <v>41800</v>
      </c>
      <c r="T10" s="33" t="n">
        <f aca="false">Summary!C18</f>
        <v>110</v>
      </c>
    </row>
    <row r="11" customFormat="false" ht="15" hidden="false" customHeight="false" outlineLevel="0" collapsed="false">
      <c r="R11" s="0" t="s">
        <v>170</v>
      </c>
      <c r="S11" s="40" t="n">
        <f aca="false">Summary!D19</f>
        <v>712000</v>
      </c>
      <c r="T11" s="33" t="n">
        <f aca="false">Summary!C19</f>
        <v>80</v>
      </c>
    </row>
    <row r="12" customFormat="false" ht="15" hidden="false" customHeight="false" outlineLevel="0" collapsed="false">
      <c r="R12" s="0" t="s">
        <v>194</v>
      </c>
      <c r="S12" s="40" t="n">
        <f aca="false">Summary!D20</f>
        <v>110400</v>
      </c>
      <c r="T12" s="33" t="n">
        <f aca="false">Summary!C20</f>
        <v>92</v>
      </c>
    </row>
    <row r="14" customFormat="false" ht="15" hidden="false" customHeight="false" outlineLevel="0" collapsed="false">
      <c r="R14" s="0" t="s">
        <v>14</v>
      </c>
      <c r="S14" s="0" t="s">
        <v>221</v>
      </c>
    </row>
    <row r="15" customFormat="false" ht="15" hidden="false" customHeight="false" outlineLevel="0" collapsed="false">
      <c r="R15" s="0" t="s">
        <v>222</v>
      </c>
      <c r="S15" s="0" t="n">
        <f aca="false">COUNTIF('Inventory Database'!M4:M53,"✅ In Stock")</f>
        <v>50</v>
      </c>
    </row>
    <row r="16" customFormat="false" ht="15" hidden="false" customHeight="false" outlineLevel="0" collapsed="false">
      <c r="R16" s="0" t="s">
        <v>223</v>
      </c>
      <c r="S16" s="0" t="n">
        <f aca="false">COUNTIF('Inventory Database'!M4:M53,"⚠ Low Stock")</f>
        <v>0</v>
      </c>
    </row>
    <row r="17" customFormat="false" ht="15" hidden="false" customHeight="false" outlineLevel="0" collapsed="false">
      <c r="R17" s="0" t="s">
        <v>224</v>
      </c>
      <c r="S17" s="0" t="n">
        <f aca="false">COUNTIF('Inventory Database'!M4:M53,"❌ Out of Stock")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5"/>
  </cols>
  <sheetData>
    <row r="1" customFormat="false" ht="36" hidden="false" customHeight="true" outlineLevel="0" collapsed="false">
      <c r="A1" s="41" t="s">
        <v>225</v>
      </c>
      <c r="B1" s="41"/>
      <c r="C1" s="41"/>
      <c r="D1" s="41"/>
      <c r="E1" s="41"/>
      <c r="F1" s="41"/>
      <c r="G1" s="41"/>
      <c r="H1" s="41"/>
    </row>
    <row r="2" customFormat="false" ht="19.5" hidden="false" customHeight="true" outlineLevel="0" collapsed="false">
      <c r="A2" s="42" t="s">
        <v>226</v>
      </c>
      <c r="B2" s="42"/>
      <c r="C2" s="42"/>
      <c r="D2" s="42"/>
      <c r="E2" s="42"/>
      <c r="F2" s="42"/>
      <c r="G2" s="42"/>
      <c r="H2" s="42"/>
    </row>
    <row r="3" customFormat="false" ht="24" hidden="false" customHeight="true" outlineLevel="0" collapsed="false">
      <c r="A3" s="43" t="s">
        <v>2</v>
      </c>
      <c r="B3" s="43" t="s">
        <v>3</v>
      </c>
      <c r="C3" s="43" t="s">
        <v>4</v>
      </c>
      <c r="D3" s="43" t="s">
        <v>10</v>
      </c>
      <c r="E3" s="43" t="s">
        <v>11</v>
      </c>
      <c r="F3" s="43" t="s">
        <v>227</v>
      </c>
      <c r="G3" s="43" t="s">
        <v>15</v>
      </c>
      <c r="H3" s="43" t="s">
        <v>14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2026-04-23T13:33:51Z</dcterms:created>
  <dc:creator>openpyxl</dc:creator>
  <dc:description/>
  <dc:language>en-US</dc:language>
  <cp:lastModifiedBy/>
  <dcterms:modified xsi:type="dcterms:W3CDTF">2026-04-23T13:33:59Z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