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gio.dev\public\files\"/>
    </mc:Choice>
  </mc:AlternateContent>
  <bookViews>
    <workbookView xWindow="0" yWindow="0" windowWidth="16380" windowHeight="8196" tabRatio="500" activeTab="1"/>
  </bookViews>
  <sheets>
    <sheet name="Room Directory" sheetId="1" r:id="rId1"/>
    <sheet name="Guest Master List" sheetId="2" r:id="rId2"/>
    <sheet name="Booking Log" sheetId="3" r:id="rId3"/>
    <sheet name="Housekeeping" sheetId="4" r:id="rId4"/>
    <sheet name="Revenue Dashboard" sheetId="5" r:id="rId5"/>
    <sheet name="Billing &amp; Folio" sheetId="6" r:id="rId6"/>
  </sheets>
  <definedNames>
    <definedName name="_xlnm._FilterDatabase" localSheetId="5" hidden="1">'Billing &amp; Folio'!$A$3:$K$83</definedName>
    <definedName name="_xlnm._FilterDatabase" localSheetId="2" hidden="1">'Booking Log'!$A$3:$R$83</definedName>
    <definedName name="_xlnm._FilterDatabase" localSheetId="1" hidden="1">'Guest Master List'!$A$3:$M$38</definedName>
    <definedName name="_xlnm._FilterDatabase" localSheetId="3" hidden="1">Housekeeping!$A$3:$L$34</definedName>
    <definedName name="_xlnm._FilterDatabase" localSheetId="0" hidden="1">'Room Directory'!$A$3:$N$34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83" i="6" l="1"/>
  <c r="G83" i="6"/>
  <c r="F83" i="6"/>
  <c r="E83" i="6"/>
  <c r="H83" i="6" s="1"/>
  <c r="J82" i="6"/>
  <c r="H82" i="6"/>
  <c r="G82" i="6"/>
  <c r="F82" i="6"/>
  <c r="E82" i="6"/>
  <c r="J81" i="6"/>
  <c r="G81" i="6"/>
  <c r="F81" i="6"/>
  <c r="J80" i="6"/>
  <c r="G80" i="6"/>
  <c r="F80" i="6"/>
  <c r="J79" i="6"/>
  <c r="G79" i="6"/>
  <c r="F79" i="6"/>
  <c r="J78" i="6"/>
  <c r="G78" i="6"/>
  <c r="F78" i="6"/>
  <c r="J77" i="6"/>
  <c r="G77" i="6"/>
  <c r="F77" i="6"/>
  <c r="J76" i="6"/>
  <c r="G76" i="6"/>
  <c r="F76" i="6"/>
  <c r="E76" i="6"/>
  <c r="H76" i="6" s="1"/>
  <c r="J75" i="6"/>
  <c r="G75" i="6"/>
  <c r="F75" i="6"/>
  <c r="E75" i="6"/>
  <c r="H75" i="6" s="1"/>
  <c r="J74" i="6"/>
  <c r="H74" i="6"/>
  <c r="G74" i="6"/>
  <c r="F74" i="6"/>
  <c r="E74" i="6"/>
  <c r="J73" i="6"/>
  <c r="G73" i="6"/>
  <c r="F73" i="6"/>
  <c r="J72" i="6"/>
  <c r="G72" i="6"/>
  <c r="F72" i="6"/>
  <c r="J71" i="6"/>
  <c r="G71" i="6"/>
  <c r="F71" i="6"/>
  <c r="J70" i="6"/>
  <c r="H70" i="6"/>
  <c r="G70" i="6"/>
  <c r="F70" i="6"/>
  <c r="J69" i="6"/>
  <c r="G69" i="6"/>
  <c r="F69" i="6"/>
  <c r="J68" i="6"/>
  <c r="G68" i="6"/>
  <c r="F68" i="6"/>
  <c r="E68" i="6"/>
  <c r="H68" i="6" s="1"/>
  <c r="J67" i="6"/>
  <c r="G67" i="6"/>
  <c r="F67" i="6"/>
  <c r="E67" i="6"/>
  <c r="H67" i="6" s="1"/>
  <c r="J66" i="6"/>
  <c r="H66" i="6"/>
  <c r="G66" i="6"/>
  <c r="F66" i="6"/>
  <c r="E66" i="6"/>
  <c r="J65" i="6"/>
  <c r="G65" i="6"/>
  <c r="F65" i="6"/>
  <c r="J64" i="6"/>
  <c r="G64" i="6"/>
  <c r="F64" i="6"/>
  <c r="J63" i="6"/>
  <c r="G63" i="6"/>
  <c r="F63" i="6"/>
  <c r="J62" i="6"/>
  <c r="G62" i="6"/>
  <c r="F62" i="6"/>
  <c r="J61" i="6"/>
  <c r="G61" i="6"/>
  <c r="F61" i="6"/>
  <c r="J60" i="6"/>
  <c r="G60" i="6"/>
  <c r="F60" i="6"/>
  <c r="E60" i="6"/>
  <c r="H60" i="6" s="1"/>
  <c r="J59" i="6"/>
  <c r="G59" i="6"/>
  <c r="F59" i="6"/>
  <c r="E59" i="6"/>
  <c r="H59" i="6" s="1"/>
  <c r="J58" i="6"/>
  <c r="H58" i="6"/>
  <c r="G58" i="6"/>
  <c r="F58" i="6"/>
  <c r="E58" i="6"/>
  <c r="J57" i="6"/>
  <c r="G57" i="6"/>
  <c r="F57" i="6"/>
  <c r="J56" i="6"/>
  <c r="G56" i="6"/>
  <c r="F56" i="6"/>
  <c r="J55" i="6"/>
  <c r="G55" i="6"/>
  <c r="F55" i="6"/>
  <c r="J54" i="6"/>
  <c r="H54" i="6"/>
  <c r="G54" i="6"/>
  <c r="F54" i="6"/>
  <c r="J53" i="6"/>
  <c r="G53" i="6"/>
  <c r="F53" i="6"/>
  <c r="J52" i="6"/>
  <c r="G52" i="6"/>
  <c r="F52" i="6"/>
  <c r="E52" i="6"/>
  <c r="H52" i="6" s="1"/>
  <c r="J51" i="6"/>
  <c r="G51" i="6"/>
  <c r="F51" i="6"/>
  <c r="E51" i="6"/>
  <c r="H51" i="6" s="1"/>
  <c r="J50" i="6"/>
  <c r="H50" i="6"/>
  <c r="G50" i="6"/>
  <c r="F50" i="6"/>
  <c r="E50" i="6"/>
  <c r="J49" i="6"/>
  <c r="G49" i="6"/>
  <c r="F49" i="6"/>
  <c r="J48" i="6"/>
  <c r="G48" i="6"/>
  <c r="F48" i="6"/>
  <c r="J47" i="6"/>
  <c r="G47" i="6"/>
  <c r="F47" i="6"/>
  <c r="J46" i="6"/>
  <c r="G46" i="6"/>
  <c r="F46" i="6"/>
  <c r="J45" i="6"/>
  <c r="G45" i="6"/>
  <c r="F45" i="6"/>
  <c r="J44" i="6"/>
  <c r="G44" i="6"/>
  <c r="F44" i="6"/>
  <c r="E44" i="6"/>
  <c r="H44" i="6" s="1"/>
  <c r="J43" i="6"/>
  <c r="G43" i="6"/>
  <c r="F43" i="6"/>
  <c r="E43" i="6"/>
  <c r="H43" i="6" s="1"/>
  <c r="J42" i="6"/>
  <c r="H42" i="6"/>
  <c r="G42" i="6"/>
  <c r="F42" i="6"/>
  <c r="E42" i="6"/>
  <c r="J41" i="6"/>
  <c r="G41" i="6"/>
  <c r="F41" i="6"/>
  <c r="J40" i="6"/>
  <c r="G40" i="6"/>
  <c r="F40" i="6"/>
  <c r="J39" i="6"/>
  <c r="G39" i="6"/>
  <c r="F39" i="6"/>
  <c r="J38" i="6"/>
  <c r="G38" i="6"/>
  <c r="F38" i="6"/>
  <c r="E38" i="6"/>
  <c r="H38" i="6" s="1"/>
  <c r="J37" i="6"/>
  <c r="G37" i="6"/>
  <c r="F37" i="6"/>
  <c r="J36" i="6"/>
  <c r="G36" i="6"/>
  <c r="F36" i="6"/>
  <c r="J35" i="6"/>
  <c r="I35" i="6"/>
  <c r="K35" i="6" s="1"/>
  <c r="G35" i="6"/>
  <c r="F35" i="6"/>
  <c r="E35" i="6"/>
  <c r="H35" i="6" s="1"/>
  <c r="J34" i="6"/>
  <c r="G34" i="6"/>
  <c r="F34" i="6"/>
  <c r="E34" i="6"/>
  <c r="H34" i="6" s="1"/>
  <c r="J33" i="6"/>
  <c r="G33" i="6"/>
  <c r="F33" i="6"/>
  <c r="J32" i="6"/>
  <c r="G32" i="6"/>
  <c r="F32" i="6"/>
  <c r="J31" i="6"/>
  <c r="G31" i="6"/>
  <c r="F31" i="6"/>
  <c r="E31" i="6"/>
  <c r="H31" i="6" s="1"/>
  <c r="J30" i="6"/>
  <c r="G30" i="6"/>
  <c r="F30" i="6"/>
  <c r="J29" i="6"/>
  <c r="G29" i="6"/>
  <c r="F29" i="6"/>
  <c r="J28" i="6"/>
  <c r="G28" i="6"/>
  <c r="F28" i="6"/>
  <c r="J27" i="6"/>
  <c r="G27" i="6"/>
  <c r="F27" i="6"/>
  <c r="E27" i="6"/>
  <c r="J26" i="6"/>
  <c r="G26" i="6"/>
  <c r="F26" i="6"/>
  <c r="E26" i="6"/>
  <c r="H26" i="6" s="1"/>
  <c r="J25" i="6"/>
  <c r="G25" i="6"/>
  <c r="F25" i="6"/>
  <c r="J24" i="6"/>
  <c r="G24" i="6"/>
  <c r="F24" i="6"/>
  <c r="J23" i="6"/>
  <c r="G23" i="6"/>
  <c r="F23" i="6"/>
  <c r="J22" i="6"/>
  <c r="G22" i="6"/>
  <c r="F22" i="6"/>
  <c r="E22" i="6"/>
  <c r="H22" i="6" s="1"/>
  <c r="J21" i="6"/>
  <c r="G21" i="6"/>
  <c r="F21" i="6"/>
  <c r="J20" i="6"/>
  <c r="G20" i="6"/>
  <c r="F20" i="6"/>
  <c r="J19" i="6"/>
  <c r="G19" i="6"/>
  <c r="F19" i="6"/>
  <c r="E19" i="6"/>
  <c r="J18" i="6"/>
  <c r="G18" i="6"/>
  <c r="F18" i="6"/>
  <c r="E18" i="6"/>
  <c r="H18" i="6" s="1"/>
  <c r="J17" i="6"/>
  <c r="G17" i="6"/>
  <c r="F17" i="6"/>
  <c r="J16" i="6"/>
  <c r="G16" i="6"/>
  <c r="F16" i="6"/>
  <c r="J15" i="6"/>
  <c r="G15" i="6"/>
  <c r="F15" i="6"/>
  <c r="E15" i="6"/>
  <c r="H15" i="6" s="1"/>
  <c r="J14" i="6"/>
  <c r="G14" i="6"/>
  <c r="F14" i="6"/>
  <c r="J13" i="6"/>
  <c r="G13" i="6"/>
  <c r="F13" i="6"/>
  <c r="J12" i="6"/>
  <c r="G12" i="6"/>
  <c r="F12" i="6"/>
  <c r="J11" i="6"/>
  <c r="G11" i="6"/>
  <c r="F11" i="6"/>
  <c r="E11" i="6"/>
  <c r="J10" i="6"/>
  <c r="G10" i="6"/>
  <c r="F10" i="6"/>
  <c r="E10" i="6"/>
  <c r="H10" i="6" s="1"/>
  <c r="J9" i="6"/>
  <c r="G9" i="6"/>
  <c r="F9" i="6"/>
  <c r="J8" i="6"/>
  <c r="G8" i="6"/>
  <c r="F8" i="6"/>
  <c r="J7" i="6"/>
  <c r="G7" i="6"/>
  <c r="F7" i="6"/>
  <c r="J6" i="6"/>
  <c r="G6" i="6"/>
  <c r="F6" i="6"/>
  <c r="E6" i="6"/>
  <c r="H6" i="6" s="1"/>
  <c r="J5" i="6"/>
  <c r="G5" i="6"/>
  <c r="F5" i="6"/>
  <c r="J4" i="6"/>
  <c r="G4" i="6"/>
  <c r="F4" i="6"/>
  <c r="D22" i="5"/>
  <c r="C22" i="5"/>
  <c r="B22" i="5"/>
  <c r="G21" i="5"/>
  <c r="G20" i="5"/>
  <c r="G19" i="5"/>
  <c r="G18" i="5"/>
  <c r="G17" i="5"/>
  <c r="G16" i="5"/>
  <c r="G15" i="5"/>
  <c r="G14" i="5"/>
  <c r="G13" i="5"/>
  <c r="G12" i="5"/>
  <c r="G11" i="5"/>
  <c r="P83" i="3"/>
  <c r="N83" i="3"/>
  <c r="I83" i="6" s="1"/>
  <c r="K83" i="6" s="1"/>
  <c r="K83" i="3"/>
  <c r="N82" i="3"/>
  <c r="I82" i="6" s="1"/>
  <c r="K82" i="6" s="1"/>
  <c r="K82" i="3"/>
  <c r="K81" i="3"/>
  <c r="E81" i="6" s="1"/>
  <c r="H81" i="6" s="1"/>
  <c r="K80" i="3"/>
  <c r="K79" i="3"/>
  <c r="N79" i="3" s="1"/>
  <c r="P79" i="3" s="1"/>
  <c r="K78" i="3"/>
  <c r="E78" i="6" s="1"/>
  <c r="H78" i="6" s="1"/>
  <c r="N77" i="3"/>
  <c r="K77" i="3"/>
  <c r="E77" i="6" s="1"/>
  <c r="H77" i="6" s="1"/>
  <c r="K76" i="3"/>
  <c r="N76" i="3" s="1"/>
  <c r="N75" i="3"/>
  <c r="I75" i="6" s="1"/>
  <c r="K75" i="6" s="1"/>
  <c r="K75" i="3"/>
  <c r="N74" i="3"/>
  <c r="I74" i="6" s="1"/>
  <c r="K74" i="6" s="1"/>
  <c r="K74" i="3"/>
  <c r="K73" i="3"/>
  <c r="E73" i="6" s="1"/>
  <c r="H73" i="6" s="1"/>
  <c r="K72" i="3"/>
  <c r="K71" i="3"/>
  <c r="N71" i="3" s="1"/>
  <c r="I71" i="6" s="1"/>
  <c r="K71" i="6" s="1"/>
  <c r="K70" i="3"/>
  <c r="E70" i="6" s="1"/>
  <c r="K69" i="3"/>
  <c r="E69" i="6" s="1"/>
  <c r="H69" i="6" s="1"/>
  <c r="K68" i="3"/>
  <c r="N68" i="3" s="1"/>
  <c r="P67" i="3"/>
  <c r="N67" i="3"/>
  <c r="I67" i="6" s="1"/>
  <c r="K67" i="6" s="1"/>
  <c r="K67" i="3"/>
  <c r="N66" i="3"/>
  <c r="I66" i="6" s="1"/>
  <c r="K66" i="6" s="1"/>
  <c r="K66" i="3"/>
  <c r="K65" i="3"/>
  <c r="E65" i="6" s="1"/>
  <c r="H65" i="6" s="1"/>
  <c r="K64" i="3"/>
  <c r="K63" i="3"/>
  <c r="N63" i="3" s="1"/>
  <c r="P63" i="3" s="1"/>
  <c r="K62" i="3"/>
  <c r="E62" i="6" s="1"/>
  <c r="H62" i="6" s="1"/>
  <c r="N61" i="3"/>
  <c r="K61" i="3"/>
  <c r="E61" i="6" s="1"/>
  <c r="H61" i="6" s="1"/>
  <c r="K60" i="3"/>
  <c r="N60" i="3" s="1"/>
  <c r="N59" i="3"/>
  <c r="P59" i="3" s="1"/>
  <c r="K59" i="3"/>
  <c r="N58" i="3"/>
  <c r="I58" i="6" s="1"/>
  <c r="K58" i="6" s="1"/>
  <c r="K58" i="3"/>
  <c r="K57" i="3"/>
  <c r="E57" i="6" s="1"/>
  <c r="H57" i="6" s="1"/>
  <c r="K56" i="3"/>
  <c r="K55" i="3"/>
  <c r="N55" i="3" s="1"/>
  <c r="I55" i="6" s="1"/>
  <c r="K55" i="6" s="1"/>
  <c r="K54" i="3"/>
  <c r="E54" i="6" s="1"/>
  <c r="K53" i="3"/>
  <c r="E53" i="6" s="1"/>
  <c r="H53" i="6" s="1"/>
  <c r="K52" i="3"/>
  <c r="N52" i="3" s="1"/>
  <c r="P51" i="3"/>
  <c r="N51" i="3"/>
  <c r="I51" i="6" s="1"/>
  <c r="K51" i="6" s="1"/>
  <c r="K51" i="3"/>
  <c r="N50" i="3"/>
  <c r="I50" i="6" s="1"/>
  <c r="K50" i="6" s="1"/>
  <c r="K50" i="3"/>
  <c r="K49" i="3"/>
  <c r="E49" i="6" s="1"/>
  <c r="H49" i="6" s="1"/>
  <c r="K48" i="3"/>
  <c r="K47" i="3"/>
  <c r="N47" i="3" s="1"/>
  <c r="P47" i="3" s="1"/>
  <c r="K46" i="3"/>
  <c r="E46" i="6" s="1"/>
  <c r="H46" i="6" s="1"/>
  <c r="N45" i="3"/>
  <c r="K45" i="3"/>
  <c r="E45" i="6" s="1"/>
  <c r="H45" i="6" s="1"/>
  <c r="K44" i="3"/>
  <c r="N44" i="3" s="1"/>
  <c r="N43" i="3"/>
  <c r="I43" i="6" s="1"/>
  <c r="K43" i="6" s="1"/>
  <c r="K43" i="3"/>
  <c r="N42" i="3"/>
  <c r="I42" i="6" s="1"/>
  <c r="K42" i="6" s="1"/>
  <c r="K42" i="3"/>
  <c r="K41" i="3"/>
  <c r="E41" i="6" s="1"/>
  <c r="H41" i="6" s="1"/>
  <c r="K40" i="3"/>
  <c r="K39" i="3"/>
  <c r="N39" i="3" s="1"/>
  <c r="P39" i="3" s="1"/>
  <c r="K38" i="3"/>
  <c r="N38" i="3" s="1"/>
  <c r="K37" i="3"/>
  <c r="E37" i="6" s="1"/>
  <c r="H37" i="6" s="1"/>
  <c r="K36" i="3"/>
  <c r="E36" i="6" s="1"/>
  <c r="H36" i="6" s="1"/>
  <c r="P35" i="3"/>
  <c r="N35" i="3"/>
  <c r="K35" i="3"/>
  <c r="N34" i="3"/>
  <c r="I34" i="6" s="1"/>
  <c r="K34" i="6" s="1"/>
  <c r="K34" i="3"/>
  <c r="K33" i="3"/>
  <c r="E33" i="6" s="1"/>
  <c r="H33" i="6" s="1"/>
  <c r="K32" i="3"/>
  <c r="K31" i="3"/>
  <c r="N31" i="3" s="1"/>
  <c r="I31" i="6" s="1"/>
  <c r="K31" i="6" s="1"/>
  <c r="K30" i="3"/>
  <c r="E30" i="6" s="1"/>
  <c r="H30" i="6" s="1"/>
  <c r="N29" i="3"/>
  <c r="P29" i="3" s="1"/>
  <c r="K29" i="3"/>
  <c r="E29" i="6" s="1"/>
  <c r="H29" i="6" s="1"/>
  <c r="K28" i="3"/>
  <c r="E28" i="6" s="1"/>
  <c r="H28" i="6" s="1"/>
  <c r="N27" i="3"/>
  <c r="I27" i="6" s="1"/>
  <c r="K27" i="6" s="1"/>
  <c r="K27" i="3"/>
  <c r="N26" i="3"/>
  <c r="I26" i="6" s="1"/>
  <c r="K26" i="6" s="1"/>
  <c r="K26" i="3"/>
  <c r="K25" i="3"/>
  <c r="N25" i="3" s="1"/>
  <c r="K24" i="3"/>
  <c r="K23" i="3"/>
  <c r="N23" i="3" s="1"/>
  <c r="I23" i="6" s="1"/>
  <c r="K23" i="6" s="1"/>
  <c r="K22" i="3"/>
  <c r="N22" i="3" s="1"/>
  <c r="K21" i="3"/>
  <c r="E21" i="6" s="1"/>
  <c r="H21" i="6" s="1"/>
  <c r="K20" i="3"/>
  <c r="E20" i="6" s="1"/>
  <c r="H20" i="6" s="1"/>
  <c r="P19" i="3"/>
  <c r="N19" i="3"/>
  <c r="I19" i="6" s="1"/>
  <c r="K19" i="6" s="1"/>
  <c r="K19" i="3"/>
  <c r="N18" i="3"/>
  <c r="I18" i="6" s="1"/>
  <c r="K18" i="6" s="1"/>
  <c r="K18" i="3"/>
  <c r="K17" i="3"/>
  <c r="E17" i="6" s="1"/>
  <c r="H17" i="6" s="1"/>
  <c r="K16" i="3"/>
  <c r="K15" i="3"/>
  <c r="N15" i="3" s="1"/>
  <c r="P15" i="3" s="1"/>
  <c r="K14" i="3"/>
  <c r="E14" i="6" s="1"/>
  <c r="H14" i="6" s="1"/>
  <c r="N13" i="3"/>
  <c r="P13" i="3" s="1"/>
  <c r="K13" i="3"/>
  <c r="E13" i="6" s="1"/>
  <c r="H13" i="6" s="1"/>
  <c r="K12" i="3"/>
  <c r="E12" i="6" s="1"/>
  <c r="H12" i="6" s="1"/>
  <c r="N11" i="3"/>
  <c r="P11" i="3" s="1"/>
  <c r="K11" i="3"/>
  <c r="N10" i="3"/>
  <c r="I10" i="6" s="1"/>
  <c r="K10" i="6" s="1"/>
  <c r="K10" i="3"/>
  <c r="K9" i="3"/>
  <c r="E9" i="6" s="1"/>
  <c r="H9" i="6" s="1"/>
  <c r="K8" i="3"/>
  <c r="K7" i="3"/>
  <c r="N7" i="3" s="1"/>
  <c r="I7" i="6" s="1"/>
  <c r="K7" i="6" s="1"/>
  <c r="K6" i="3"/>
  <c r="N6" i="3" s="1"/>
  <c r="K5" i="3"/>
  <c r="E5" i="6" s="1"/>
  <c r="H5" i="6" s="1"/>
  <c r="K4" i="3"/>
  <c r="E4" i="6" s="1"/>
  <c r="H4" i="6" s="1"/>
  <c r="P38" i="3" l="1"/>
  <c r="I38" i="6"/>
  <c r="K38" i="6" s="1"/>
  <c r="I25" i="6"/>
  <c r="K25" i="6" s="1"/>
  <c r="P25" i="3"/>
  <c r="I60" i="6"/>
  <c r="K60" i="6" s="1"/>
  <c r="P60" i="3"/>
  <c r="I44" i="6"/>
  <c r="K44" i="6" s="1"/>
  <c r="P44" i="3"/>
  <c r="I22" i="6"/>
  <c r="K22" i="6" s="1"/>
  <c r="P22" i="3"/>
  <c r="I68" i="6"/>
  <c r="K68" i="6" s="1"/>
  <c r="P68" i="3"/>
  <c r="I6" i="6"/>
  <c r="K6" i="6" s="1"/>
  <c r="P6" i="3"/>
  <c r="I52" i="6"/>
  <c r="K52" i="6" s="1"/>
  <c r="P52" i="3"/>
  <c r="I76" i="6"/>
  <c r="K76" i="6" s="1"/>
  <c r="P76" i="3"/>
  <c r="P7" i="3"/>
  <c r="P23" i="3"/>
  <c r="N49" i="3"/>
  <c r="P55" i="3"/>
  <c r="P58" i="3"/>
  <c r="N65" i="3"/>
  <c r="P71" i="3"/>
  <c r="P74" i="3"/>
  <c r="N81" i="3"/>
  <c r="E7" i="6"/>
  <c r="H7" i="6" s="1"/>
  <c r="E23" i="6"/>
  <c r="H23" i="6" s="1"/>
  <c r="N4" i="3"/>
  <c r="N8" i="3"/>
  <c r="E8" i="6"/>
  <c r="H8" i="6" s="1"/>
  <c r="N14" i="3"/>
  <c r="N20" i="3"/>
  <c r="N24" i="3"/>
  <c r="E24" i="6"/>
  <c r="H24" i="6" s="1"/>
  <c r="N30" i="3"/>
  <c r="N36" i="3"/>
  <c r="N40" i="3"/>
  <c r="E40" i="6"/>
  <c r="H40" i="6" s="1"/>
  <c r="N46" i="3"/>
  <c r="N56" i="3"/>
  <c r="E56" i="6"/>
  <c r="H56" i="6" s="1"/>
  <c r="N62" i="3"/>
  <c r="N72" i="3"/>
  <c r="E72" i="6"/>
  <c r="H72" i="6" s="1"/>
  <c r="N78" i="3"/>
  <c r="H11" i="6"/>
  <c r="H19" i="6"/>
  <c r="H27" i="6"/>
  <c r="I39" i="6"/>
  <c r="K39" i="6" s="1"/>
  <c r="I47" i="6"/>
  <c r="K47" i="6" s="1"/>
  <c r="I63" i="6"/>
  <c r="K63" i="6" s="1"/>
  <c r="I79" i="6"/>
  <c r="K79" i="6" s="1"/>
  <c r="P61" i="3"/>
  <c r="I61" i="6"/>
  <c r="K61" i="6" s="1"/>
  <c r="P77" i="3"/>
  <c r="I77" i="6"/>
  <c r="K77" i="6" s="1"/>
  <c r="P10" i="3"/>
  <c r="N17" i="3"/>
  <c r="N5" i="3"/>
  <c r="P27" i="3"/>
  <c r="N37" i="3"/>
  <c r="P43" i="3"/>
  <c r="N69" i="3"/>
  <c r="N9" i="3"/>
  <c r="P18" i="3"/>
  <c r="P31" i="3"/>
  <c r="P34" i="3"/>
  <c r="N41" i="3"/>
  <c r="P50" i="3"/>
  <c r="N57" i="3"/>
  <c r="P66" i="3"/>
  <c r="N73" i="3"/>
  <c r="P82" i="3"/>
  <c r="I11" i="6"/>
  <c r="K11" i="6" s="1"/>
  <c r="I15" i="6"/>
  <c r="K15" i="6" s="1"/>
  <c r="E25" i="6"/>
  <c r="H25" i="6" s="1"/>
  <c r="P45" i="3"/>
  <c r="I45" i="6"/>
  <c r="K45" i="6" s="1"/>
  <c r="I13" i="6"/>
  <c r="K13" i="6" s="1"/>
  <c r="P26" i="3"/>
  <c r="P42" i="3"/>
  <c r="N21" i="3"/>
  <c r="P75" i="3"/>
  <c r="N12" i="3"/>
  <c r="N16" i="3"/>
  <c r="E16" i="6"/>
  <c r="H16" i="6" s="1"/>
  <c r="N28" i="3"/>
  <c r="N32" i="3"/>
  <c r="E32" i="6"/>
  <c r="H32" i="6" s="1"/>
  <c r="N48" i="3"/>
  <c r="E48" i="6"/>
  <c r="H48" i="6" s="1"/>
  <c r="N54" i="3"/>
  <c r="N64" i="3"/>
  <c r="E64" i="6"/>
  <c r="H64" i="6" s="1"/>
  <c r="N70" i="3"/>
  <c r="N80" i="3"/>
  <c r="E80" i="6"/>
  <c r="H80" i="6" s="1"/>
  <c r="E39" i="6"/>
  <c r="H39" i="6" s="1"/>
  <c r="E47" i="6"/>
  <c r="H47" i="6" s="1"/>
  <c r="E55" i="6"/>
  <c r="H55" i="6" s="1"/>
  <c r="I59" i="6"/>
  <c r="K59" i="6" s="1"/>
  <c r="E63" i="6"/>
  <c r="H63" i="6" s="1"/>
  <c r="E71" i="6"/>
  <c r="H71" i="6" s="1"/>
  <c r="E79" i="6"/>
  <c r="H79" i="6" s="1"/>
  <c r="I29" i="6"/>
  <c r="K29" i="6" s="1"/>
  <c r="N33" i="3"/>
  <c r="N53" i="3"/>
  <c r="P16" i="3" l="1"/>
  <c r="I16" i="6"/>
  <c r="K16" i="6" s="1"/>
  <c r="I33" i="6"/>
  <c r="K33" i="6" s="1"/>
  <c r="P33" i="3"/>
  <c r="P48" i="3"/>
  <c r="I48" i="6"/>
  <c r="K48" i="6" s="1"/>
  <c r="P21" i="3"/>
  <c r="I21" i="6"/>
  <c r="K21" i="6" s="1"/>
  <c r="I17" i="6"/>
  <c r="K17" i="6" s="1"/>
  <c r="P17" i="3"/>
  <c r="I62" i="6"/>
  <c r="K62" i="6" s="1"/>
  <c r="P62" i="3"/>
  <c r="P78" i="3"/>
  <c r="I78" i="6"/>
  <c r="K78" i="6" s="1"/>
  <c r="P54" i="3"/>
  <c r="I54" i="6"/>
  <c r="K54" i="6" s="1"/>
  <c r="I41" i="6"/>
  <c r="K41" i="6" s="1"/>
  <c r="P41" i="3"/>
  <c r="I36" i="6"/>
  <c r="K36" i="6" s="1"/>
  <c r="P36" i="3"/>
  <c r="I30" i="6"/>
  <c r="K30" i="6" s="1"/>
  <c r="P30" i="3"/>
  <c r="I57" i="6"/>
  <c r="K57" i="6" s="1"/>
  <c r="P57" i="3"/>
  <c r="P37" i="3"/>
  <c r="I37" i="6"/>
  <c r="K37" i="6" s="1"/>
  <c r="P8" i="3"/>
  <c r="I8" i="6"/>
  <c r="K8" i="6" s="1"/>
  <c r="I12" i="6"/>
  <c r="K12" i="6" s="1"/>
  <c r="P12" i="3"/>
  <c r="I49" i="6"/>
  <c r="K49" i="6" s="1"/>
  <c r="P49" i="3"/>
  <c r="P24" i="3"/>
  <c r="I24" i="6"/>
  <c r="K24" i="6" s="1"/>
  <c r="P80" i="3"/>
  <c r="I80" i="6"/>
  <c r="K80" i="6" s="1"/>
  <c r="I9" i="6"/>
  <c r="K9" i="6" s="1"/>
  <c r="P9" i="3"/>
  <c r="I56" i="6"/>
  <c r="K56" i="6" s="1"/>
  <c r="P56" i="3"/>
  <c r="I20" i="6"/>
  <c r="K20" i="6" s="1"/>
  <c r="P20" i="3"/>
  <c r="I65" i="6"/>
  <c r="K65" i="6" s="1"/>
  <c r="P65" i="3"/>
  <c r="P64" i="3"/>
  <c r="I64" i="6"/>
  <c r="K64" i="6" s="1"/>
  <c r="I40" i="6"/>
  <c r="K40" i="6" s="1"/>
  <c r="P40" i="3"/>
  <c r="I4" i="6"/>
  <c r="K4" i="6" s="1"/>
  <c r="P4" i="3"/>
  <c r="P53" i="3"/>
  <c r="I53" i="6"/>
  <c r="K53" i="6" s="1"/>
  <c r="P5" i="3"/>
  <c r="I5" i="6"/>
  <c r="K5" i="6" s="1"/>
  <c r="P72" i="3"/>
  <c r="I72" i="6"/>
  <c r="K72" i="6" s="1"/>
  <c r="I81" i="6"/>
  <c r="K81" i="6" s="1"/>
  <c r="P81" i="3"/>
  <c r="P32" i="3"/>
  <c r="I32" i="6"/>
  <c r="K32" i="6" s="1"/>
  <c r="I73" i="6"/>
  <c r="K73" i="6" s="1"/>
  <c r="P73" i="3"/>
  <c r="P70" i="3"/>
  <c r="I70" i="6"/>
  <c r="K70" i="6" s="1"/>
  <c r="I28" i="6"/>
  <c r="K28" i="6" s="1"/>
  <c r="P28" i="3"/>
  <c r="P69" i="3"/>
  <c r="I69" i="6"/>
  <c r="K69" i="6" s="1"/>
  <c r="I46" i="6"/>
  <c r="K46" i="6" s="1"/>
  <c r="P46" i="3"/>
  <c r="I14" i="6"/>
  <c r="K14" i="6" s="1"/>
  <c r="P14" i="3"/>
</calcChain>
</file>

<file path=xl/sharedStrings.xml><?xml version="1.0" encoding="utf-8"?>
<sst xmlns="http://schemas.openxmlformats.org/spreadsheetml/2006/main" count="1979" uniqueCount="601">
  <si>
    <t>🏨  MARUYOG RIDGE — ROOM DIRECTORY</t>
  </si>
  <si>
    <t>Maruyog Ridge Mountain Resort &amp; Spa  ·  Bukidnon, Philippines  ·  As of 2025–2026</t>
  </si>
  <si>
    <t>Room No.</t>
  </si>
  <si>
    <t>Floor</t>
  </si>
  <si>
    <t>Room Type</t>
  </si>
  <si>
    <t>Bed Config.</t>
  </si>
  <si>
    <t>Max Pax</t>
  </si>
  <si>
    <t>View</t>
  </si>
  <si>
    <t>Weekday Rate (₱)</t>
  </si>
  <si>
    <t>Weekend Rate (₱)</t>
  </si>
  <si>
    <t>Peak Rate (₱)</t>
  </si>
  <si>
    <t>Amenities</t>
  </si>
  <si>
    <t>Size (sqm)</t>
  </si>
  <si>
    <t>Smoking</t>
  </si>
  <si>
    <t>Status</t>
  </si>
  <si>
    <t>Notes</t>
  </si>
  <si>
    <t>101</t>
  </si>
  <si>
    <t>1</t>
  </si>
  <si>
    <t>Standard Room</t>
  </si>
  <si>
    <t>1 Queen Bed</t>
  </si>
  <si>
    <t>Garden View</t>
  </si>
  <si>
    <t>AC, TV, WiFi, Private Bath, Balcony</t>
  </si>
  <si>
    <t>No</t>
  </si>
  <si>
    <t>✅ Available</t>
  </si>
  <si>
    <t>Ground floor garden access</t>
  </si>
  <si>
    <t>102</t>
  </si>
  <si>
    <t>103</t>
  </si>
  <si>
    <t>2 Single Beds</t>
  </si>
  <si>
    <t>AC, TV, WiFi, Private Bath</t>
  </si>
  <si>
    <t>🔧 Maintenance</t>
  </si>
  <si>
    <t>Aircon repair scheduled</t>
  </si>
  <si>
    <t>104</t>
  </si>
  <si>
    <t>Pool View</t>
  </si>
  <si>
    <t>105</t>
  </si>
  <si>
    <t>Deluxe Room</t>
  </si>
  <si>
    <t>1 King Bed</t>
  </si>
  <si>
    <t>Mountain View</t>
  </si>
  <si>
    <t>AC, Smart TV, WiFi, Mini-bar, Bathtub, Balcony</t>
  </si>
  <si>
    <t>🛏 Occupied</t>
  </si>
  <si>
    <t>106</t>
  </si>
  <si>
    <t>107</t>
  </si>
  <si>
    <t>Family Room</t>
  </si>
  <si>
    <t>2 Queen Beds</t>
  </si>
  <si>
    <t>AC, Smart TV, WiFi, Mini-bar, 2 Baths, Living Area</t>
  </si>
  <si>
    <t>108</t>
  </si>
  <si>
    <t>201</t>
  </si>
  <si>
    <t>2</t>
  </si>
  <si>
    <t>202</t>
  </si>
  <si>
    <t>203</t>
  </si>
  <si>
    <t>204</t>
  </si>
  <si>
    <t>Valley View</t>
  </si>
  <si>
    <t>205</t>
  </si>
  <si>
    <t>2 Double Beds</t>
  </si>
  <si>
    <t>206</t>
  </si>
  <si>
    <t>Junior Suite</t>
  </si>
  <si>
    <t>AC, Smart TV, WiFi, Mini-bar, Jacuzzi, Sala Set, Balcony</t>
  </si>
  <si>
    <t>207</t>
  </si>
  <si>
    <t>208</t>
  </si>
  <si>
    <t>AC, Smart TV, WiFi, Mini-bar, 2 Baths, Kids Area, Balcony</t>
  </si>
  <si>
    <t>301</t>
  </si>
  <si>
    <t>3</t>
  </si>
  <si>
    <t>High floor, best view</t>
  </si>
  <si>
    <t>302</t>
  </si>
  <si>
    <t>360° View</t>
  </si>
  <si>
    <t>AC, Smart TV, WiFi, Mini-bar, Bathtub, Panoramic Balcony</t>
  </si>
  <si>
    <t>303</t>
  </si>
  <si>
    <t>304</t>
  </si>
  <si>
    <t>1 King Bed + Sofa</t>
  </si>
  <si>
    <t>VIP guest</t>
  </si>
  <si>
    <t>305</t>
  </si>
  <si>
    <t>Executive Suite</t>
  </si>
  <si>
    <t>AC, Smart TV, WiFi, Full Bar, Jacuzzi, Dining Area, 2 Balconies</t>
  </si>
  <si>
    <t>306</t>
  </si>
  <si>
    <t>AC, Smart TV, WiFi, Full Bar, Jacuzzi, Dining Area, Balcony</t>
  </si>
  <si>
    <t>Plumbing works</t>
  </si>
  <si>
    <t>307</t>
  </si>
  <si>
    <t>Presidential Suite</t>
  </si>
  <si>
    <t>1 King + 2 Singles</t>
  </si>
  <si>
    <t>AC, Smart TV, WiFi, Full Bar, Private Pool, Jacuzzi, Kitchen, Dining, 3 Balconies</t>
  </si>
  <si>
    <t>Top-floor centerpiece</t>
  </si>
  <si>
    <t>C01</t>
  </si>
  <si>
    <t>G</t>
  </si>
  <si>
    <t>Cottage</t>
  </si>
  <si>
    <t>Forest View</t>
  </si>
  <si>
    <t>Fan/AC, TV, WiFi, Private Bath, Veranda, BBQ Area</t>
  </si>
  <si>
    <t>Private cottage</t>
  </si>
  <si>
    <t>C02</t>
  </si>
  <si>
    <t>C03</t>
  </si>
  <si>
    <t>AC, Smart TV, WiFi, 2 Private Baths, Veranda, BBQ, Outdoor Shower</t>
  </si>
  <si>
    <t>Family cottage</t>
  </si>
  <si>
    <t>C04</t>
  </si>
  <si>
    <t>Glamping Tent</t>
  </si>
  <si>
    <t>Fan, WiFi, Shared Bath, Veranda</t>
  </si>
  <si>
    <t>Eco-friendly option</t>
  </si>
  <si>
    <t>C05</t>
  </si>
  <si>
    <t>C06</t>
  </si>
  <si>
    <t>🚫 Closed</t>
  </si>
  <si>
    <t>Off-season closure</t>
  </si>
  <si>
    <t>D01</t>
  </si>
  <si>
    <t>Dormitory</t>
  </si>
  <si>
    <t>8 Bunk Beds</t>
  </si>
  <si>
    <t>Fan, WiFi, Shared Bath, Locker</t>
  </si>
  <si>
    <t>Per person rate</t>
  </si>
  <si>
    <t>D02</t>
  </si>
  <si>
    <t>10 Bunk Beds</t>
  </si>
  <si>
    <t>👥  MARUYOG RIDGE — GUEST MASTER LIST</t>
  </si>
  <si>
    <t>Registered Guests  ·  2025–2026  ·  Maruyog Ridge Mountain Resort &amp; Spa</t>
  </si>
  <si>
    <t>Guest ID</t>
  </si>
  <si>
    <t>Last Name</t>
  </si>
  <si>
    <t>First Name</t>
  </si>
  <si>
    <t>Contact No.</t>
  </si>
  <si>
    <t>Email Address</t>
  </si>
  <si>
    <t>Nationality</t>
  </si>
  <si>
    <t>ID Type</t>
  </si>
  <si>
    <t>ID Number</t>
  </si>
  <si>
    <t>Address</t>
  </si>
  <si>
    <t>Birthday</t>
  </si>
  <si>
    <t>VIP Status</t>
  </si>
  <si>
    <t>Total Stays</t>
  </si>
  <si>
    <t>Total Spent (₱)</t>
  </si>
  <si>
    <t>G-001</t>
  </si>
  <si>
    <t>Reyes</t>
  </si>
  <si>
    <t>Maria Clara</t>
  </si>
  <si>
    <t>Filipino</t>
  </si>
  <si>
    <t>UMID</t>
  </si>
  <si>
    <t>123 Rizal St., Cagayan de Oro City</t>
  </si>
  <si>
    <t>⭐ VIP</t>
  </si>
  <si>
    <t>G-002</t>
  </si>
  <si>
    <t>Santos</t>
  </si>
  <si>
    <t>Jose Antonio</t>
  </si>
  <si>
    <t>Driver's License</t>
  </si>
  <si>
    <t>456 Mabini Ave., Iligan City</t>
  </si>
  <si>
    <t>Regular</t>
  </si>
  <si>
    <t>G-003</t>
  </si>
  <si>
    <t>Tan</t>
  </si>
  <si>
    <t>Michelle</t>
  </si>
  <si>
    <t>Passport</t>
  </si>
  <si>
    <t>789 Quezon Blvd., Manila</t>
  </si>
  <si>
    <t>G-004</t>
  </si>
  <si>
    <t>Lim</t>
  </si>
  <si>
    <t>Patrick John</t>
  </si>
  <si>
    <t>PhilSys</t>
  </si>
  <si>
    <t>23 Osmena St., Davao City</t>
  </si>
  <si>
    <t>G-005</t>
  </si>
  <si>
    <t>Garcia</t>
  </si>
  <si>
    <t>Anna Marie</t>
  </si>
  <si>
    <t>78 Bonifacio St., Bukidnon</t>
  </si>
  <si>
    <t>G-006</t>
  </si>
  <si>
    <t>Kim</t>
  </si>
  <si>
    <t>Jisoo</t>
  </si>
  <si>
    <t>Korean</t>
  </si>
  <si>
    <t>Seoul, South Korea</t>
  </si>
  <si>
    <t>G-007</t>
  </si>
  <si>
    <t>Nguyen</t>
  </si>
  <si>
    <t>Tran Minh</t>
  </si>
  <si>
    <t>Vietnamese</t>
  </si>
  <si>
    <t>Ho Chi Minh City, Vietnam</t>
  </si>
  <si>
    <t>G-008</t>
  </si>
  <si>
    <t>Cruz</t>
  </si>
  <si>
    <t>Roberto</t>
  </si>
  <si>
    <t>101 Aguinaldo St., Cebu City</t>
  </si>
  <si>
    <t>⭐⭐ Diamond</t>
  </si>
  <si>
    <t>G-009</t>
  </si>
  <si>
    <t>Fernandez</t>
  </si>
  <si>
    <t>Sophia Grace</t>
  </si>
  <si>
    <t>34 Magsaysay Ave., Zamboanga</t>
  </si>
  <si>
    <t>G-010</t>
  </si>
  <si>
    <t>Manalo</t>
  </si>
  <si>
    <t>Benedict</t>
  </si>
  <si>
    <t>56 Commonwealth Ave., QC</t>
  </si>
  <si>
    <t>G-011</t>
  </si>
  <si>
    <t>Smith</t>
  </si>
  <si>
    <t>Robert James</t>
  </si>
  <si>
    <t>American</t>
  </si>
  <si>
    <t>Los Angeles, California, USA</t>
  </si>
  <si>
    <t>G-012</t>
  </si>
  <si>
    <t>Aquino</t>
  </si>
  <si>
    <t>Carla Mae</t>
  </si>
  <si>
    <t>89 Roxas Blvd., Manila</t>
  </si>
  <si>
    <t>G-013</t>
  </si>
  <si>
    <t>Ramos</t>
  </si>
  <si>
    <t>Eduardo</t>
  </si>
  <si>
    <t>22 Del Pilar St., Cagayan de Oro</t>
  </si>
  <si>
    <t>G-014</t>
  </si>
  <si>
    <t>Park</t>
  </si>
  <si>
    <t>Seungri</t>
  </si>
  <si>
    <t>Busan, South Korea</t>
  </si>
  <si>
    <t>G-015</t>
  </si>
  <si>
    <t>Dela Cruz</t>
  </si>
  <si>
    <t>Maribel</t>
  </si>
  <si>
    <t>112 Sto. Nino St., Iligan</t>
  </si>
  <si>
    <t>G-016</t>
  </si>
  <si>
    <t>Johnson</t>
  </si>
  <si>
    <t>Michael</t>
  </si>
  <si>
    <t>Australian</t>
  </si>
  <si>
    <t>Sydney, NSW, Australia</t>
  </si>
  <si>
    <t>G-017</t>
  </si>
  <si>
    <t>Villanueva</t>
  </si>
  <si>
    <t>Kristine Joy</t>
  </si>
  <si>
    <t>45 Osmena Ave., Davao</t>
  </si>
  <si>
    <t>G-018</t>
  </si>
  <si>
    <t>Wang</t>
  </si>
  <si>
    <t>Li Ming</t>
  </si>
  <si>
    <t>Chinese</t>
  </si>
  <si>
    <t>Shanghai, China</t>
  </si>
  <si>
    <t>G-019</t>
  </si>
  <si>
    <t>Soriano</t>
  </si>
  <si>
    <t>Mark Vincent</t>
  </si>
  <si>
    <t>67 Burgos St., Cagayan de Oro</t>
  </si>
  <si>
    <t>G-020</t>
  </si>
  <si>
    <t>Lorenzo</t>
  </si>
  <si>
    <t>Patricia Anne</t>
  </si>
  <si>
    <t>88 Mindanao Ave., Manila</t>
  </si>
  <si>
    <t>G-021</t>
  </si>
  <si>
    <t>Mendoza</t>
  </si>
  <si>
    <t>Angelica</t>
  </si>
  <si>
    <t>34 Legaspi St., Makati</t>
  </si>
  <si>
    <t>G-022</t>
  </si>
  <si>
    <t>Torres</t>
  </si>
  <si>
    <t>Rico Paolo</t>
  </si>
  <si>
    <t>Villa Kananga, Butuan City</t>
  </si>
  <si>
    <t>G-023</t>
  </si>
  <si>
    <t>Yamamoto</t>
  </si>
  <si>
    <t>Kenji</t>
  </si>
  <si>
    <t>Japanese</t>
  </si>
  <si>
    <t>Tokyo, Japan</t>
  </si>
  <si>
    <t>G-024</t>
  </si>
  <si>
    <t>Bautista</t>
  </si>
  <si>
    <t>Rowena</t>
  </si>
  <si>
    <t>120 Pabayo St., Cagayan de Oro</t>
  </si>
  <si>
    <t>G-025</t>
  </si>
  <si>
    <t>Domingo</t>
  </si>
  <si>
    <t>Francis Emmanuel</t>
  </si>
  <si>
    <t>90 Corrales Ave., Cagayan de Oro</t>
  </si>
  <si>
    <t>G-026</t>
  </si>
  <si>
    <t>Singh</t>
  </si>
  <si>
    <t>Rajesh</t>
  </si>
  <si>
    <t>Indian</t>
  </si>
  <si>
    <t>Mumbai, India</t>
  </si>
  <si>
    <t>G-027</t>
  </si>
  <si>
    <t>Uy</t>
  </si>
  <si>
    <t>Charlene</t>
  </si>
  <si>
    <t>55 Vamenta Blvd., CDO</t>
  </si>
  <si>
    <t>G-028</t>
  </si>
  <si>
    <t>Castillo</t>
  </si>
  <si>
    <t>Jerome</t>
  </si>
  <si>
    <t>1234 Ayala Ave., Makati</t>
  </si>
  <si>
    <t>G-029</t>
  </si>
  <si>
    <t>Lee</t>
  </si>
  <si>
    <t>Hyun Soo</t>
  </si>
  <si>
    <t>Incheon, South Korea</t>
  </si>
  <si>
    <t>G-030</t>
  </si>
  <si>
    <t>Aguilar</t>
  </si>
  <si>
    <t>Leonora</t>
  </si>
  <si>
    <t>78 Mastura St., Iligan City</t>
  </si>
  <si>
    <t>G-031</t>
  </si>
  <si>
    <t>Hernandez</t>
  </si>
  <si>
    <t>Ramon Jr.</t>
  </si>
  <si>
    <t>15 J. Rizal St., Malaybalay</t>
  </si>
  <si>
    <t>G-032</t>
  </si>
  <si>
    <t>Pascual</t>
  </si>
  <si>
    <t>Joanna Marie</t>
  </si>
  <si>
    <t>67 Osmena St., Cagayan de Oro</t>
  </si>
  <si>
    <t>G-033</t>
  </si>
  <si>
    <t>Brown</t>
  </si>
  <si>
    <t>David Edward</t>
  </si>
  <si>
    <t>Melbourne, VIC, Australia</t>
  </si>
  <si>
    <t>G-034</t>
  </si>
  <si>
    <t>Lacson</t>
  </si>
  <si>
    <t>Merry Grace</t>
  </si>
  <si>
    <t>22 Rosario St., CDO</t>
  </si>
  <si>
    <t>G-035</t>
  </si>
  <si>
    <t>Juan Miguel</t>
  </si>
  <si>
    <t>33 Gaerlan St., Cagayan de Oro</t>
  </si>
  <si>
    <t>📋  MARUYOG RIDGE — BOOKING LOG 2025–2026</t>
  </si>
  <si>
    <t>Complete Reservation &amp; Stay Records  ·  Maruyog Ridge Mountain Resort &amp; Spa</t>
  </si>
  <si>
    <t>Booking ID</t>
  </si>
  <si>
    <t>Guest Name</t>
  </si>
  <si>
    <t>Check-In</t>
  </si>
  <si>
    <t>Check-Out</t>
  </si>
  <si>
    <t>Nights</t>
  </si>
  <si>
    <t>Pax</t>
  </si>
  <si>
    <t>Rate/Night (₱)</t>
  </si>
  <si>
    <t>Room Total (₱)</t>
  </si>
  <si>
    <t>Add-ons (₱)</t>
  </si>
  <si>
    <t>Discount (₱)</t>
  </si>
  <si>
    <t>Grand Total (₱)</t>
  </si>
  <si>
    <t>Paid (₱)</t>
  </si>
  <si>
    <t>Balance (₱)</t>
  </si>
  <si>
    <t>Payment Method</t>
  </si>
  <si>
    <t>BK-2025-001</t>
  </si>
  <si>
    <t>Reyes, Maria Clara</t>
  </si>
  <si>
    <t>GCash</t>
  </si>
  <si>
    <t>✅ Checked Out</t>
  </si>
  <si>
    <t>BK-2025-002</t>
  </si>
  <si>
    <t>Cruz, Roberto</t>
  </si>
  <si>
    <t>BK-2025-003</t>
  </si>
  <si>
    <t>Ramos, Eduardo</t>
  </si>
  <si>
    <t>BK-2025-004</t>
  </si>
  <si>
    <t>Santos, Jose Antonio</t>
  </si>
  <si>
    <t>Credit Card</t>
  </si>
  <si>
    <t>BK-2025-005</t>
  </si>
  <si>
    <t>Smith, Robert James</t>
  </si>
  <si>
    <t>BK-2025-006</t>
  </si>
  <si>
    <t>Torres, Rico Paolo</t>
  </si>
  <si>
    <t>Maya</t>
  </si>
  <si>
    <t>BK-2025-007</t>
  </si>
  <si>
    <t>Domingo, Francis</t>
  </si>
  <si>
    <t>BK-2025-008</t>
  </si>
  <si>
    <t>Tan, Michelle</t>
  </si>
  <si>
    <t>Corporate Account</t>
  </si>
  <si>
    <t>BK-2025-009</t>
  </si>
  <si>
    <t>Manalo, Benedict</t>
  </si>
  <si>
    <t>BK-2025-010</t>
  </si>
  <si>
    <t>Kim, Jisoo</t>
  </si>
  <si>
    <t>BK-2025-011</t>
  </si>
  <si>
    <t>Park, Seungri</t>
  </si>
  <si>
    <t>Bank Transfer</t>
  </si>
  <si>
    <t>BK-2025-012</t>
  </si>
  <si>
    <t>Garcia, Anna Marie</t>
  </si>
  <si>
    <t>BK-2025-013</t>
  </si>
  <si>
    <t>Villanueva, Kristine</t>
  </si>
  <si>
    <t>Cash</t>
  </si>
  <si>
    <t>BK-2025-014</t>
  </si>
  <si>
    <t>Hernandez, Ramon Jr.</t>
  </si>
  <si>
    <t>BK-2025-015</t>
  </si>
  <si>
    <t>Nguyen, Tran Minh</t>
  </si>
  <si>
    <t>BK-2025-016</t>
  </si>
  <si>
    <t>Castillo, Jerome</t>
  </si>
  <si>
    <t>BK-2025-017</t>
  </si>
  <si>
    <t>Aquino, Carla Mae</t>
  </si>
  <si>
    <t>BK-2025-018</t>
  </si>
  <si>
    <t>Soriano, Mark</t>
  </si>
  <si>
    <t>BK-2025-019</t>
  </si>
  <si>
    <t>Johnson, Michael</t>
  </si>
  <si>
    <t>BK-2025-020</t>
  </si>
  <si>
    <t>Lim, Patrick John</t>
  </si>
  <si>
    <t>BK-2025-021</t>
  </si>
  <si>
    <t>Bautista, Rowena</t>
  </si>
  <si>
    <t>BK-2025-022</t>
  </si>
  <si>
    <t>BK-2025-023</t>
  </si>
  <si>
    <t>Yamamoto, Kenji</t>
  </si>
  <si>
    <t>BK-2025-024</t>
  </si>
  <si>
    <t>Lee, Hyun Soo</t>
  </si>
  <si>
    <t>BK-2025-025</t>
  </si>
  <si>
    <t>Lacson, Merry Grace</t>
  </si>
  <si>
    <t>BK-2025-026</t>
  </si>
  <si>
    <t>BK-2025-027</t>
  </si>
  <si>
    <t>BK-2025-028</t>
  </si>
  <si>
    <t>Wang, Li Ming</t>
  </si>
  <si>
    <t>BK-2025-029</t>
  </si>
  <si>
    <t>Fernandez, Sophia</t>
  </si>
  <si>
    <t>BK-2025-030</t>
  </si>
  <si>
    <t>Mendoza, Angelica</t>
  </si>
  <si>
    <t>BK-2025-031</t>
  </si>
  <si>
    <t>❌ Cancelled</t>
  </si>
  <si>
    <t>BK-2025-032</t>
  </si>
  <si>
    <t>BK-2025-033</t>
  </si>
  <si>
    <t>Singh, Rajesh</t>
  </si>
  <si>
    <t>BK-2025-034</t>
  </si>
  <si>
    <t>BK-2025-035</t>
  </si>
  <si>
    <t>Brown, David Edward</t>
  </si>
  <si>
    <t>BK-2025-036</t>
  </si>
  <si>
    <t>Dela Cruz, Maribel</t>
  </si>
  <si>
    <t>BK-2025-037</t>
  </si>
  <si>
    <t>BK-2025-038</t>
  </si>
  <si>
    <t>Uy, Charlene</t>
  </si>
  <si>
    <t>BK-2025-039</t>
  </si>
  <si>
    <t>Aguilar, Leonora</t>
  </si>
  <si>
    <t>BK-2025-040</t>
  </si>
  <si>
    <t>BK-2025-041</t>
  </si>
  <si>
    <t>Lorenzo, Patricia</t>
  </si>
  <si>
    <t>BK-2025-042</t>
  </si>
  <si>
    <t>BK-2025-043</t>
  </si>
  <si>
    <t>BK-2025-044</t>
  </si>
  <si>
    <t>BK-2025-045</t>
  </si>
  <si>
    <t>BK-2025-046</t>
  </si>
  <si>
    <t>Reyes, Juan Miguel</t>
  </si>
  <si>
    <t>BK-2025-047</t>
  </si>
  <si>
    <t>BK-2025-048</t>
  </si>
  <si>
    <t>BK-2025-049</t>
  </si>
  <si>
    <t>BK-2025-050</t>
  </si>
  <si>
    <t>BK-2025-051</t>
  </si>
  <si>
    <t>BK-2025-052</t>
  </si>
  <si>
    <t>BK-2025-053</t>
  </si>
  <si>
    <t>Pascual, Joanna</t>
  </si>
  <si>
    <t>BK-2025-054</t>
  </si>
  <si>
    <t>BK-2025-055</t>
  </si>
  <si>
    <t>BK-2025-056</t>
  </si>
  <si>
    <t>BK-2025-057</t>
  </si>
  <si>
    <t>BK-2025-058</t>
  </si>
  <si>
    <t>BK-2025-059</t>
  </si>
  <si>
    <t>BK-2025-060</t>
  </si>
  <si>
    <t>BK-2026-001</t>
  </si>
  <si>
    <t>BK-2026-002</t>
  </si>
  <si>
    <t>BK-2026-003</t>
  </si>
  <si>
    <t>BK-2026-004</t>
  </si>
  <si>
    <t>BK-2026-005</t>
  </si>
  <si>
    <t>BK-2026-006</t>
  </si>
  <si>
    <t>BK-2026-007</t>
  </si>
  <si>
    <t>BK-2026-008</t>
  </si>
  <si>
    <t>BK-2026-009</t>
  </si>
  <si>
    <t>BK-2026-010</t>
  </si>
  <si>
    <t>BK-2026-011</t>
  </si>
  <si>
    <t>BK-2026-012</t>
  </si>
  <si>
    <t>BK-2026-013</t>
  </si>
  <si>
    <t>BK-2026-014</t>
  </si>
  <si>
    <t>BK-2026-015</t>
  </si>
  <si>
    <t>📋 Confirmed</t>
  </si>
  <si>
    <t>BK-2026-016</t>
  </si>
  <si>
    <t>BK-2026-017</t>
  </si>
  <si>
    <t>BK-2026-018</t>
  </si>
  <si>
    <t>BK-2026-019</t>
  </si>
  <si>
    <t>BK-2026-020</t>
  </si>
  <si>
    <t>🧹  MARUYOG RIDGE — HOUSEKEEPING &amp; MAINTENANCE LOG</t>
  </si>
  <si>
    <t>Daily Room Status &amp; Maintenance Tracking  ·  Week of April 21, 2026</t>
  </si>
  <si>
    <t>Cleaning Status</t>
  </si>
  <si>
    <t>Last Cleaned</t>
  </si>
  <si>
    <t>Cleaned By</t>
  </si>
  <si>
    <t>Inspection</t>
  </si>
  <si>
    <t>Inspected By</t>
  </si>
  <si>
    <t>Maintenance</t>
  </si>
  <si>
    <t>Remarks</t>
  </si>
  <si>
    <t>Priority</t>
  </si>
  <si>
    <t>Next Service</t>
  </si>
  <si>
    <t>✅ Clean</t>
  </si>
  <si>
    <t>2026-04-23</t>
  </si>
  <si>
    <t>Maria L.</t>
  </si>
  <si>
    <t>✅ Passed</t>
  </si>
  <si>
    <t>Supervisor A</t>
  </si>
  <si>
    <t>None</t>
  </si>
  <si>
    <t>Ready for check-in</t>
  </si>
  <si>
    <t>Normal</t>
  </si>
  <si>
    <t>2026-04-24</t>
  </si>
  <si>
    <t>Ana R.</t>
  </si>
  <si>
    <t>2026-04-22</t>
  </si>
  <si>
    <t>Jose M.</t>
  </si>
  <si>
    <t>⏳ Pending</t>
  </si>
  <si>
    <t>—</t>
  </si>
  <si>
    <t>Aircon repair</t>
  </si>
  <si>
    <t>Technician scheduled 10AM</t>
  </si>
  <si>
    <t>🔴 High</t>
  </si>
  <si>
    <t>Supervisor B</t>
  </si>
  <si>
    <t>Guest extended stay</t>
  </si>
  <si>
    <t>2026-04-25</t>
  </si>
  <si>
    <t>2026-04-21</t>
  </si>
  <si>
    <t>VIP - Do not disturb</t>
  </si>
  <si>
    <t>Rosa C.</t>
  </si>
  <si>
    <t>Deep cleaned</t>
  </si>
  <si>
    <t>2026-04-20</t>
  </si>
  <si>
    <t>Family — extra towels requested</t>
  </si>
  <si>
    <t>🔄 Turnover</t>
  </si>
  <si>
    <t>Checkout 11AM, check-in 2PM</t>
  </si>
  <si>
    <t>🟡 Medium</t>
  </si>
  <si>
    <t>Guest requested extra pillow</t>
  </si>
  <si>
    <t>VIP — Amenity replenished</t>
  </si>
  <si>
    <t>High floor — panoramic view</t>
  </si>
  <si>
    <t>Korean guest — slippers added</t>
  </si>
  <si>
    <t>VIP guest — do not disturb</t>
  </si>
  <si>
    <t>2026-04-26</t>
  </si>
  <si>
    <t>Plumber scheduled today</t>
  </si>
  <si>
    <t>Renovation</t>
  </si>
  <si>
    <t>Ongoing renovation works</t>
  </si>
  <si>
    <t>2026-04-30</t>
  </si>
  <si>
    <t>2026-04-19</t>
  </si>
  <si>
    <t>VVIP — Butler assigned</t>
  </si>
  <si>
    <t>Outdoor area swept</t>
  </si>
  <si>
    <t>BBQ set up by guest</t>
  </si>
  <si>
    <t>Deep clean after 5-pax group</t>
  </si>
  <si>
    <t>Linens replaced</t>
  </si>
  <si>
    <t>2026-04-01</t>
  </si>
  <si>
    <t>Off-season</t>
  </si>
  <si>
    <t>Closed until June 2026</t>
  </si>
  <si>
    <t>2026-06-01</t>
  </si>
  <si>
    <t>All 8 lockers sanitized</t>
  </si>
  <si>
    <t>📊  MARUYOG RIDGE — REVENUE DASHBOARD 2025–2026</t>
  </si>
  <si>
    <t>Financial Performance Overview  ·  Maruyog Ridge Mountain Resort &amp; Spa  ·  Generated: 2026-04-23</t>
  </si>
  <si>
    <t>TOTAL REVENUE 2025</t>
  </si>
  <si>
    <t>TOTAL BOOKINGS</t>
  </si>
  <si>
    <t>OCCUPANCY RATE</t>
  </si>
  <si>
    <t>₱3,842,500</t>
  </si>
  <si>
    <t>80</t>
  </si>
  <si>
    <t>78.4%</t>
  </si>
  <si>
    <t>All Collected Payments</t>
  </si>
  <si>
    <t>Reservations 2025–2026</t>
  </si>
  <si>
    <t>Avg Monthly Occupancy</t>
  </si>
  <si>
    <t>📅  MONTHLY PERFORMANCE — 2025</t>
  </si>
  <si>
    <t>🏨  REVENUE BY ROOM TYPE</t>
  </si>
  <si>
    <t>Month</t>
  </si>
  <si>
    <t>Revenue (₱)</t>
  </si>
  <si>
    <t>Bookings</t>
  </si>
  <si>
    <t>Occupancy %</t>
  </si>
  <si>
    <t>RevPAR (₱)</t>
  </si>
  <si>
    <t>ADR (₱)</t>
  </si>
  <si>
    <t>MoM Growth</t>
  </si>
  <si>
    <t>Nights Sold</t>
  </si>
  <si>
    <t>Avg Rate (₱)</t>
  </si>
  <si>
    <t>%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</si>
  <si>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</si>
  <si>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</si>
  <si>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</si>
  <si>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</si>
  <si>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</si>
  <si>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</si>
  <si>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</si>
  <si>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</si>
  <si>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</si>
  <si>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</si>
  <si>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</si>
  <si>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</si>
  <si>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 / AVG</t>
  </si>
  <si>
    <t>💳  MARUYOG RIDGE — BILLING &amp; FOLIO SUMMARY</t>
  </si>
  <si>
    <t>Guest Charges &amp; Payment Tracking  ·  All amounts in Philippine Peso (₱)</t>
  </si>
  <si>
    <t>Folio No.</t>
  </si>
  <si>
    <t>Room Charges (₱)</t>
  </si>
  <si>
    <t>F&amp;B / Add-ons (₱)</t>
  </si>
  <si>
    <t>VAT (12%) (₱)</t>
  </si>
  <si>
    <t>Amount Paid (₱)</t>
  </si>
  <si>
    <t>Outstanding (₱)</t>
  </si>
  <si>
    <t>FL-2025-001</t>
  </si>
  <si>
    <t>FL-2025-002</t>
  </si>
  <si>
    <t>FL-2025-003</t>
  </si>
  <si>
    <t>FL-2025-004</t>
  </si>
  <si>
    <t>FL-2025-005</t>
  </si>
  <si>
    <t>FL-2025-006</t>
  </si>
  <si>
    <t>FL-2025-007</t>
  </si>
  <si>
    <t>FL-2025-008</t>
  </si>
  <si>
    <t>FL-2025-009</t>
  </si>
  <si>
    <t>FL-2025-010</t>
  </si>
  <si>
    <t>FL-2025-011</t>
  </si>
  <si>
    <t>FL-2025-012</t>
  </si>
  <si>
    <t>FL-2025-013</t>
  </si>
  <si>
    <t>FL-2025-014</t>
  </si>
  <si>
    <t>FL-2025-015</t>
  </si>
  <si>
    <t>FL-2025-016</t>
  </si>
  <si>
    <t>FL-2025-017</t>
  </si>
  <si>
    <t>FL-2025-018</t>
  </si>
  <si>
    <t>FL-2025-019</t>
  </si>
  <si>
    <t>FL-2025-020</t>
  </si>
  <si>
    <t>FL-2025-021</t>
  </si>
  <si>
    <t>FL-2025-022</t>
  </si>
  <si>
    <t>FL-2025-023</t>
  </si>
  <si>
    <t>FL-2025-024</t>
  </si>
  <si>
    <t>FL-2025-025</t>
  </si>
  <si>
    <t>FL-2025-026</t>
  </si>
  <si>
    <t>FL-2025-027</t>
  </si>
  <si>
    <t>FL-2025-028</t>
  </si>
  <si>
    <t>FL-2025-029</t>
  </si>
  <si>
    <t>FL-2025-030</t>
  </si>
  <si>
    <t>FL-2025-031</t>
  </si>
  <si>
    <t>FL-2025-032</t>
  </si>
  <si>
    <t>FL-2025-033</t>
  </si>
  <si>
    <t>FL-2025-034</t>
  </si>
  <si>
    <t>FL-2025-035</t>
  </si>
  <si>
    <t>FL-2025-036</t>
  </si>
  <si>
    <t>FL-2025-037</t>
  </si>
  <si>
    <t>FL-2025-038</t>
  </si>
  <si>
    <t>FL-2025-039</t>
  </si>
  <si>
    <t>FL-2025-040</t>
  </si>
  <si>
    <t>FL-2025-041</t>
  </si>
  <si>
    <t>FL-2025-042</t>
  </si>
  <si>
    <t>FL-2025-043</t>
  </si>
  <si>
    <t>FL-2025-044</t>
  </si>
  <si>
    <t>FL-2025-045</t>
  </si>
  <si>
    <t>FL-2025-046</t>
  </si>
  <si>
    <t>FL-2025-047</t>
  </si>
  <si>
    <t>FL-2025-048</t>
  </si>
  <si>
    <t>FL-2025-049</t>
  </si>
  <si>
    <t>FL-2025-050</t>
  </si>
  <si>
    <t>FL-2025-051</t>
  </si>
  <si>
    <t>FL-2025-052</t>
  </si>
  <si>
    <t>FL-2025-053</t>
  </si>
  <si>
    <t>FL-2025-054</t>
  </si>
  <si>
    <t>FL-2025-055</t>
  </si>
  <si>
    <t>FL-2025-056</t>
  </si>
  <si>
    <t>FL-2025-057</t>
  </si>
  <si>
    <t>FL-2025-058</t>
  </si>
  <si>
    <t>FL-2025-059</t>
  </si>
  <si>
    <t>FL-2025-060</t>
  </si>
  <si>
    <t>FL-2026-001</t>
  </si>
  <si>
    <t>FL-2026-002</t>
  </si>
  <si>
    <t>FL-2026-003</t>
  </si>
  <si>
    <t>FL-2026-004</t>
  </si>
  <si>
    <t>FL-2026-005</t>
  </si>
  <si>
    <t>FL-2026-006</t>
  </si>
  <si>
    <t>FL-2026-007</t>
  </si>
  <si>
    <t>FL-2026-008</t>
  </si>
  <si>
    <t>FL-2026-009</t>
  </si>
  <si>
    <t>FL-2026-010</t>
  </si>
  <si>
    <t>FL-2026-011</t>
  </si>
  <si>
    <t>FL-2026-012</t>
  </si>
  <si>
    <t>FL-2026-013</t>
  </si>
  <si>
    <t>FL-2026-014</t>
  </si>
  <si>
    <t>FL-2026-015</t>
  </si>
  <si>
    <t>FL-2026-016</t>
  </si>
  <si>
    <t>FL-2026-017</t>
  </si>
  <si>
    <t>FL-2026-018</t>
  </si>
  <si>
    <t>FL-2026-019</t>
  </si>
  <si>
    <t>FL-2026-020</t>
  </si>
  <si>
    <t>***********</t>
  </si>
  <si>
    <t>************************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</si>
</sst>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\₱#,##0"/>
    <numFmt numFmtId="165" formatCode="yyyy\-mm\-dd"/>
    <numFmt numFmtId="166" formatCode="0.0%"/>
  </numFmts>
  <fonts count="11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i/>
      <sz val="10"/>
      <color rgb="FFD8F3DC"/>
      <name val="Arial"/>
      <charset val="1"/>
    </font>
    <font>
      <b/>
      <sz val="9"/>
      <color rgb="FFFFFFFF"/>
      <name val="Arial"/>
      <charset val="1"/>
    </font>
    <font>
      <b/>
      <sz val="9"/>
      <color rgb="FF2D2D2D"/>
      <name val="Arial"/>
      <charset val="1"/>
    </font>
    <font>
      <sz val="9"/>
      <color rgb="FF2D2D2D"/>
      <name val="Arial"/>
      <charset val="1"/>
    </font>
    <font>
      <b/>
      <sz val="20"/>
      <color rgb="FFFFFFFF"/>
      <name val="Arial"/>
      <charset val="1"/>
    </font>
    <font>
      <b/>
      <sz val="11"/>
      <color rgb="FFFFFFFF"/>
      <name val="Arial"/>
      <charset val="1"/>
    </font>
    <font>
      <b/>
      <sz val="26"/>
      <color rgb="FFFFFFFF"/>
      <name val="Arial"/>
      <charset val="1"/>
    </font>
    <font>
      <i/>
      <sz val="9"/>
      <color rgb="FFFFFFFF"/>
      <name val="Arial"/>
      <charset val="1"/>
    </font>
    <font>
      <b/>
      <sz val="12"/>
      <color rgb="FFFFFFFF"/>
      <name val="Arial"/>
      <charset val="1"/>
    </font>
  </fonts>
  <fills count="12">
    <fill>
      <patternFill patternType="none"/>
    </fill>
    <fill>
      <patternFill patternType="gray125"/>
    </fill>
    <fill>
      <patternFill patternType="solid">
        <fgColor rgb="FF1A3C34"/>
        <bgColor rgb="FF2D2D2D"/>
      </patternFill>
    </fill>
    <fill>
      <patternFill patternType="solid">
        <fgColor rgb="FF2D6A4F"/>
        <bgColor rgb="FF4672A8"/>
      </patternFill>
    </fill>
    <fill>
      <patternFill patternType="solid">
        <fgColor rgb="FFFFFFFF"/>
        <bgColor rgb="FFF9F9F9"/>
      </patternFill>
    </fill>
    <fill>
      <patternFill patternType="solid">
        <fgColor rgb="FFFEFAE0"/>
        <bgColor rgb="FFF9F9F9"/>
      </patternFill>
    </fill>
    <fill>
      <patternFill patternType="solid">
        <fgColor rgb="FFD8F3DC"/>
        <bgColor rgb="FFE5E7EB"/>
      </patternFill>
    </fill>
    <fill>
      <patternFill patternType="solid">
        <fgColor rgb="FFFEE2E2"/>
        <bgColor rgb="FFE5E7EB"/>
      </patternFill>
    </fill>
    <fill>
      <patternFill patternType="solid">
        <fgColor rgb="FFDBEAFE"/>
        <bgColor rgb="FFE5E7EB"/>
      </patternFill>
    </fill>
    <fill>
      <patternFill patternType="solid">
        <fgColor rgb="FFFEF3C7"/>
        <bgColor rgb="FFFEFAE0"/>
      </patternFill>
    </fill>
    <fill>
      <patternFill patternType="solid">
        <fgColor rgb="FFF3F4F6"/>
        <bgColor rgb="FFF9F9F9"/>
      </patternFill>
    </fill>
    <fill>
      <patternFill patternType="solid">
        <fgColor rgb="FFB7791F"/>
        <bgColor rgb="FFDC853E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64" fontId="5" fillId="4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/>
    </xf>
    <xf numFmtId="165" fontId="5" fillId="4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left" vertical="center"/>
    </xf>
    <xf numFmtId="165" fontId="5" fillId="5" borderId="2" xfId="0" applyNumberFormat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4" fillId="10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5" fillId="4" borderId="2" xfId="0" applyNumberFormat="1" applyFont="1" applyFill="1" applyBorder="1" applyAlignment="1">
      <alignment horizontal="center" vertical="center"/>
    </xf>
    <xf numFmtId="166" fontId="5" fillId="4" borderId="2" xfId="0" applyNumberFormat="1" applyFont="1" applyFill="1" applyBorder="1" applyAlignment="1">
      <alignment horizontal="center" vertical="center"/>
    </xf>
    <xf numFmtId="9" fontId="5" fillId="5" borderId="2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6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10" fillId="3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3" borderId="0" xfId="0" applyFont="1" applyFill="1" applyBorder="1" applyAlignment="1">
      <alignment horizontal="center" vertical="center"/>
    </xf>
    <xf numFmtId="0" fontId="8" fillId="11" borderId="0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11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center" vertical="center"/>
    </xf>
    <xf numFmtId="0" fontId="7" fillId="11" borderId="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791F"/>
      <rgbColor rgb="FF800080"/>
      <rgbColor rgb="FF2D6A4F"/>
      <rgbColor rgb="FFB8CD97"/>
      <rgbColor rgb="FF878787"/>
      <rgbColor rgb="FF93A9CE"/>
      <rgbColor rgb="FFAB4744"/>
      <rgbColor rgb="FFFEFAE0"/>
      <rgbColor rgb="FFDBEAFE"/>
      <rgbColor rgb="FF660066"/>
      <rgbColor rgb="FFDC853E"/>
      <rgbColor rgb="FF0369A1"/>
      <rgbColor rgb="FFD9D9D9"/>
      <rgbColor rgb="FF000080"/>
      <rgbColor rgb="FFFF00FF"/>
      <rgbColor rgb="FFFFFF00"/>
      <rgbColor rgb="FF00FFFF"/>
      <rgbColor rgb="FF800080"/>
      <rgbColor rgb="FF800000"/>
      <rgbColor rgb="FF4672A8"/>
      <rgbColor rgb="FF0000FF"/>
      <rgbColor rgb="FF00CCFF"/>
      <rgbColor rgb="FFF3F4F6"/>
      <rgbColor rgb="FFD8F3DC"/>
      <rgbColor rgb="FFFEF3C7"/>
      <rgbColor rgb="FFE5E7EB"/>
      <rgbColor rgb="FFD09493"/>
      <rgbColor rgb="FFF9F9F9"/>
      <rgbColor rgb="FFFEE2E2"/>
      <rgbColor rgb="FF4A7EBB"/>
      <rgbColor rgb="FF52B788"/>
      <rgbColor rgb="FF99CC00"/>
      <rgbColor rgb="FFFFCC00"/>
      <rgbColor rgb="FFFF9900"/>
      <rgbColor rgb="FFFF6600"/>
      <rgbColor rgb="FF725990"/>
      <rgbColor rgb="FF8AA64F"/>
      <rgbColor rgb="FF1A3C34"/>
      <rgbColor rgb="FF4299B0"/>
      <rgbColor rgb="FF003300"/>
      <rgbColor rgb="FF333300"/>
      <rgbColor rgb="FF993300"/>
      <rgbColor rgb="FF7C3AED"/>
      <rgbColor rgb="FF4F81BD"/>
      <rgbColor rgb="FF2D2D2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Monthly Revenue 2025 (₱)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'Revenue Dashboard'!$B$9</c:f>
              <c:strCache>
                <c:ptCount val="1"/>
                <c:pt idx="0">
                  <c:v>Revenue (₱)</c:v>
                </c:pt>
              </c:strCache>
            </c:strRef>
          </c:tx>
          <c:spPr>
            <a:solidFill>
              <a:srgbClr val="2D6A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Dashboard'!$B$10:$B$21</c:f>
              <c:numCache>
                <c:formatCode>\₱#,##0</c:formatCode>
                <c:ptCount val="12"/>
                <c:pt idx="0">
                  <c:v>185000</c:v>
                </c:pt>
                <c:pt idx="1">
                  <c:v>312000</c:v>
                </c:pt>
                <c:pt idx="2">
                  <c:v>198000</c:v>
                </c:pt>
                <c:pt idx="3">
                  <c:v>285000</c:v>
                </c:pt>
                <c:pt idx="4">
                  <c:v>245000</c:v>
                </c:pt>
                <c:pt idx="5">
                  <c:v>310000</c:v>
                </c:pt>
                <c:pt idx="6">
                  <c:v>420000</c:v>
                </c:pt>
                <c:pt idx="7">
                  <c:v>395000</c:v>
                </c:pt>
                <c:pt idx="8">
                  <c:v>220000</c:v>
                </c:pt>
                <c:pt idx="9">
                  <c:v>380000</c:v>
                </c:pt>
                <c:pt idx="10">
                  <c:v>295000</c:v>
                </c:pt>
                <c:pt idx="11">
                  <c:v>597500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56521616"/>
        <c:axId val="1056522160"/>
      </c:barChart>
      <c:catAx>
        <c:axId val="105652161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56522160"/>
        <c:crosses val="autoZero"/>
        <c:auto val="1"/>
        <c:lblAlgn val="ctr"/>
        <c:lblOffset val="100"/>
        <c:noMultiLvlLbl val="0"/>
      </c:catAx>
      <c:valAx>
        <c:axId val="10565221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Revenue (₱)</a:t>
                </a: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\₱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56521616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Monthly Occupancy Rate 2025 (%)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'Revenue Dashboard'!$D$9</c:f>
              <c:strCache>
                <c:ptCount val="1"/>
                <c:pt idx="0">
                  <c:v>Occupancy %</c:v>
                </c:pt>
              </c:strCache>
            </c:strRef>
          </c:tx>
          <c:spPr>
            <a:ln w="4752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'Revenue Dashboard'!$A$10:$A$21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'Revenue Dashboard'!$D$10:$D$21</c:f>
              <c:numCache>
                <c:formatCode>0%</c:formatCode>
                <c:ptCount val="12"/>
                <c:pt idx="0">
                  <c:v>0.62</c:v>
                </c:pt>
                <c:pt idx="1">
                  <c:v>0.75</c:v>
                </c:pt>
                <c:pt idx="2">
                  <c:v>0.57999999999999996</c:v>
                </c:pt>
                <c:pt idx="3">
                  <c:v>0.72</c:v>
                </c:pt>
                <c:pt idx="4">
                  <c:v>0.68</c:v>
                </c:pt>
                <c:pt idx="5">
                  <c:v>0.76</c:v>
                </c:pt>
                <c:pt idx="6">
                  <c:v>0.85</c:v>
                </c:pt>
                <c:pt idx="7">
                  <c:v>0.82</c:v>
                </c:pt>
                <c:pt idx="8">
                  <c:v>0.6</c:v>
                </c:pt>
                <c:pt idx="9">
                  <c:v>0.78</c:v>
                </c:pt>
                <c:pt idx="10">
                  <c:v>0.7</c:v>
                </c:pt>
                <c:pt idx="11">
                  <c:v>0.91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56517808"/>
        <c:axId val="1056525968"/>
      </c:lineChart>
      <c:catAx>
        <c:axId val="105651780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56525968"/>
        <c:crosses val="autoZero"/>
        <c:auto val="1"/>
        <c:lblAlgn val="ctr"/>
        <c:lblOffset val="100"/>
        <c:noMultiLvlLbl val="0"/>
      </c:catAx>
      <c:valAx>
        <c:axId val="105652596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/>
                  </a:rPr>
                  <a:t>Occupancy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0565178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Revenue Share by Room Type</a:t>
            </a: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'Revenue Dashboard'!$L$9</c:f>
              <c:strCache>
                <c:ptCount val="1"/>
                <c:pt idx="0">
                  <c:v>Revenue (₱)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dPt>
            <c:idx val="0"/>
            <c:bubble3D val="0"/>
            <c:spPr>
              <a:solidFill>
                <a:srgbClr val="4672A8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1"/>
            <c:bubble3D val="0"/>
            <c:spPr>
              <a:solidFill>
                <a:srgbClr val="AB4744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2"/>
            <c:bubble3D val="0"/>
            <c:spPr>
              <a:solidFill>
                <a:srgbClr val="8AA64F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3"/>
            <c:bubble3D val="0"/>
            <c:spPr>
              <a:solidFill>
                <a:srgbClr val="72599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4"/>
            <c:bubble3D val="0"/>
            <c:spPr>
              <a:solidFill>
                <a:srgbClr val="4299B0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5"/>
            <c:bubble3D val="0"/>
            <c:spPr>
              <a:solidFill>
                <a:srgbClr val="DC853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6"/>
            <c:bubble3D val="0"/>
            <c:spPr>
              <a:solidFill>
                <a:srgbClr val="93A9CE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7"/>
            <c:bubble3D val="0"/>
            <c:spPr>
              <a:solidFill>
                <a:srgbClr val="D09493"/>
              </a:solidFill>
              <a:ln w="9360">
                <a:solidFill>
                  <a:srgbClr val="F9F9F9"/>
                </a:solidFill>
                <a:round/>
              </a:ln>
            </c:spPr>
          </c:dPt>
          <c:dPt>
            <c:idx val="8"/>
            <c:bubble3D val="0"/>
            <c:spPr>
              <a:solidFill>
                <a:srgbClr val="B8CD97"/>
              </a:solidFill>
              <a:ln w="9360">
                <a:solidFill>
                  <a:srgbClr val="F9F9F9"/>
                </a:solidFill>
                <a:round/>
              </a:ln>
            </c:spPr>
          </c:dPt>
          <c:dLbls>
            <c:dLbl>
              <c:idx val="0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5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6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7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dLbl>
              <c:idx val="8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'Revenue Dashboard'!$I$10:$I$18</c:f>
              <c:strCache>
                <c:ptCount val="9"/>
                <c:pt idx="0">
                  <c:v>Standard Room</c:v>
                </c:pt>
                <c:pt idx="1">
                  <c:v>Deluxe Room</c:v>
                </c:pt>
                <c:pt idx="2">
                  <c:v>Junior Suite</c:v>
                </c:pt>
                <c:pt idx="3">
                  <c:v>Executive Suite</c:v>
                </c:pt>
                <c:pt idx="4">
                  <c:v>Presidential Suite</c:v>
                </c:pt>
                <c:pt idx="5">
                  <c:v>Family Room</c:v>
                </c:pt>
                <c:pt idx="6">
                  <c:v>Cottage</c:v>
                </c:pt>
                <c:pt idx="7">
                  <c:v>Glamping Tent</c:v>
                </c:pt>
                <c:pt idx="8">
                  <c:v>Dormitory</c:v>
                </c:pt>
              </c:strCache>
            </c:strRef>
          </c:cat>
          <c:val>
            <c:numRef>
              <c:f>'Revenue Dashboard'!$L$10:$L$18</c:f>
              <c:numCache>
                <c:formatCode>\₱#,##0</c:formatCode>
                <c:ptCount val="9"/>
                <c:pt idx="0">
                  <c:v>287000</c:v>
                </c:pt>
                <c:pt idx="1">
                  <c:v>698000</c:v>
                </c:pt>
                <c:pt idx="2">
                  <c:v>968000</c:v>
                </c:pt>
                <c:pt idx="3">
                  <c:v>938500</c:v>
                </c:pt>
                <c:pt idx="4">
                  <c:v>1182000</c:v>
                </c:pt>
                <c:pt idx="5">
                  <c:v>385000</c:v>
                </c:pt>
                <c:pt idx="6">
                  <c:v>374000</c:v>
                </c:pt>
                <c:pt idx="7">
                  <c:v>24000</c:v>
                </c:pt>
                <c:pt idx="8">
                  <c:v>6300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23</xdr:row>
      <xdr:rowOff>0</xdr:rowOff>
    </xdr:from>
    <xdr:to>
      <xdr:col>8</xdr:col>
      <xdr:colOff>1035000</xdr:colOff>
      <xdr:row>47</xdr:row>
      <xdr:rowOff>107640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41</xdr:row>
      <xdr:rowOff>0</xdr:rowOff>
    </xdr:from>
    <xdr:to>
      <xdr:col>8</xdr:col>
      <xdr:colOff>1035000</xdr:colOff>
      <xdr:row>65</xdr:row>
      <xdr:rowOff>107640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8</xdr:col>
      <xdr:colOff>0</xdr:colOff>
      <xdr:row>23</xdr:row>
      <xdr:rowOff>0</xdr:rowOff>
    </xdr:from>
    <xdr:to>
      <xdr:col>14</xdr:col>
      <xdr:colOff>417960</xdr:colOff>
      <xdr:row>47</xdr:row>
      <xdr:rowOff>107640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A3C34"/>
  </sheetPr>
  <dimension ref="A1:N34"/>
  <sheetViews>
    <sheetView showGridLines="0" zoomScaleNormal="100" workbookViewId="0">
      <pane ySplit="3" topLeftCell="A5" activePane="bottomLeft" state="frozen"/>
      <selection pane="bottomLeft" sqref="A1:N1"/>
    </sheetView>
  </sheetViews>
  <sheetFormatPr defaultColWidth="8.6640625" defaultRowHeight="14.4" x14ac:dyDescent="0.3"/>
  <cols>
    <col min="1" max="1" width="10" customWidth="1"/>
    <col min="2" max="2" width="7" customWidth="1"/>
    <col min="3" max="3" width="20" customWidth="1"/>
    <col min="4" max="4" width="16" customWidth="1"/>
    <col min="5" max="5" width="9" customWidth="1"/>
    <col min="6" max="6" width="14" customWidth="1"/>
    <col min="7" max="8" width="17" customWidth="1"/>
    <col min="9" max="9" width="15" customWidth="1"/>
    <col min="10" max="10" width="35" customWidth="1"/>
    <col min="11" max="11" width="11" customWidth="1"/>
    <col min="12" max="12" width="9" customWidth="1"/>
    <col min="13" max="13" width="13" customWidth="1"/>
    <col min="14" max="14" width="28" customWidth="1"/>
  </cols>
  <sheetData>
    <row r="1" spans="1:14" ht="42" customHeight="1" x14ac:dyDescent="0.3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4" ht="19.5" customHeight="1" x14ac:dyDescent="0.3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3" spans="1:14" ht="27.7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ht="19.5" customHeight="1" x14ac:dyDescent="0.3">
      <c r="A4" s="2" t="s">
        <v>16</v>
      </c>
      <c r="B4" s="3" t="s">
        <v>17</v>
      </c>
      <c r="C4" s="3" t="s">
        <v>18</v>
      </c>
      <c r="D4" s="3" t="s">
        <v>19</v>
      </c>
      <c r="E4" s="3">
        <v>2</v>
      </c>
      <c r="F4" s="3" t="s">
        <v>20</v>
      </c>
      <c r="G4" s="4">
        <v>2500</v>
      </c>
      <c r="H4" s="4">
        <v>3000</v>
      </c>
      <c r="I4" s="4">
        <v>3500</v>
      </c>
      <c r="J4" s="5" t="s">
        <v>21</v>
      </c>
      <c r="K4" s="3">
        <v>24</v>
      </c>
      <c r="L4" s="3" t="s">
        <v>22</v>
      </c>
      <c r="M4" s="3" t="s">
        <v>23</v>
      </c>
      <c r="N4" s="5" t="s">
        <v>24</v>
      </c>
    </row>
    <row r="5" spans="1:14" ht="19.5" customHeight="1" x14ac:dyDescent="0.3">
      <c r="A5" s="6" t="s">
        <v>25</v>
      </c>
      <c r="B5" s="7" t="s">
        <v>17</v>
      </c>
      <c r="C5" s="7" t="s">
        <v>18</v>
      </c>
      <c r="D5" s="7" t="s">
        <v>19</v>
      </c>
      <c r="E5" s="7">
        <v>2</v>
      </c>
      <c r="F5" s="7" t="s">
        <v>20</v>
      </c>
      <c r="G5" s="8">
        <v>2500</v>
      </c>
      <c r="H5" s="8">
        <v>3000</v>
      </c>
      <c r="I5" s="8">
        <v>3500</v>
      </c>
      <c r="J5" s="9" t="s">
        <v>21</v>
      </c>
      <c r="K5" s="7">
        <v>24</v>
      </c>
      <c r="L5" s="7" t="s">
        <v>22</v>
      </c>
      <c r="M5" s="7" t="s">
        <v>23</v>
      </c>
      <c r="N5" s="9"/>
    </row>
    <row r="6" spans="1:14" ht="19.5" customHeight="1" x14ac:dyDescent="0.3">
      <c r="A6" s="2" t="s">
        <v>26</v>
      </c>
      <c r="B6" s="3" t="s">
        <v>17</v>
      </c>
      <c r="C6" s="3" t="s">
        <v>18</v>
      </c>
      <c r="D6" s="3" t="s">
        <v>27</v>
      </c>
      <c r="E6" s="3">
        <v>3</v>
      </c>
      <c r="F6" s="3" t="s">
        <v>20</v>
      </c>
      <c r="G6" s="4">
        <v>2800</v>
      </c>
      <c r="H6" s="4">
        <v>3200</v>
      </c>
      <c r="I6" s="4">
        <v>3800</v>
      </c>
      <c r="J6" s="5" t="s">
        <v>28</v>
      </c>
      <c r="K6" s="3">
        <v>26</v>
      </c>
      <c r="L6" s="3" t="s">
        <v>22</v>
      </c>
      <c r="M6" s="3" t="s">
        <v>29</v>
      </c>
      <c r="N6" s="5" t="s">
        <v>30</v>
      </c>
    </row>
    <row r="7" spans="1:14" ht="19.5" customHeight="1" x14ac:dyDescent="0.3">
      <c r="A7" s="6" t="s">
        <v>31</v>
      </c>
      <c r="B7" s="7" t="s">
        <v>17</v>
      </c>
      <c r="C7" s="7" t="s">
        <v>18</v>
      </c>
      <c r="D7" s="7" t="s">
        <v>19</v>
      </c>
      <c r="E7" s="7">
        <v>2</v>
      </c>
      <c r="F7" s="7" t="s">
        <v>32</v>
      </c>
      <c r="G7" s="8">
        <v>2800</v>
      </c>
      <c r="H7" s="8">
        <v>3300</v>
      </c>
      <c r="I7" s="8">
        <v>3800</v>
      </c>
      <c r="J7" s="9" t="s">
        <v>21</v>
      </c>
      <c r="K7" s="7">
        <v>25</v>
      </c>
      <c r="L7" s="7" t="s">
        <v>22</v>
      </c>
      <c r="M7" s="7" t="s">
        <v>23</v>
      </c>
      <c r="N7" s="9"/>
    </row>
    <row r="8" spans="1:14" ht="19.5" customHeight="1" x14ac:dyDescent="0.3">
      <c r="A8" s="2" t="s">
        <v>33</v>
      </c>
      <c r="B8" s="3" t="s">
        <v>17</v>
      </c>
      <c r="C8" s="3" t="s">
        <v>34</v>
      </c>
      <c r="D8" s="3" t="s">
        <v>35</v>
      </c>
      <c r="E8" s="3">
        <v>2</v>
      </c>
      <c r="F8" s="3" t="s">
        <v>36</v>
      </c>
      <c r="G8" s="4">
        <v>3800</v>
      </c>
      <c r="H8" s="4">
        <v>4500</v>
      </c>
      <c r="I8" s="4">
        <v>5200</v>
      </c>
      <c r="J8" s="5" t="s">
        <v>37</v>
      </c>
      <c r="K8" s="3">
        <v>32</v>
      </c>
      <c r="L8" s="3" t="s">
        <v>22</v>
      </c>
      <c r="M8" s="3" t="s">
        <v>38</v>
      </c>
      <c r="N8" s="5"/>
    </row>
    <row r="9" spans="1:14" ht="19.5" customHeight="1" x14ac:dyDescent="0.3">
      <c r="A9" s="6" t="s">
        <v>39</v>
      </c>
      <c r="B9" s="7" t="s">
        <v>17</v>
      </c>
      <c r="C9" s="7" t="s">
        <v>34</v>
      </c>
      <c r="D9" s="7" t="s">
        <v>35</v>
      </c>
      <c r="E9" s="7">
        <v>2</v>
      </c>
      <c r="F9" s="7" t="s">
        <v>36</v>
      </c>
      <c r="G9" s="8">
        <v>3800</v>
      </c>
      <c r="H9" s="8">
        <v>4500</v>
      </c>
      <c r="I9" s="8">
        <v>5200</v>
      </c>
      <c r="J9" s="9" t="s">
        <v>37</v>
      </c>
      <c r="K9" s="7">
        <v>32</v>
      </c>
      <c r="L9" s="7" t="s">
        <v>22</v>
      </c>
      <c r="M9" s="7" t="s">
        <v>23</v>
      </c>
      <c r="N9" s="9"/>
    </row>
    <row r="10" spans="1:14" ht="19.5" customHeight="1" x14ac:dyDescent="0.3">
      <c r="A10" s="2" t="s">
        <v>40</v>
      </c>
      <c r="B10" s="3" t="s">
        <v>17</v>
      </c>
      <c r="C10" s="3" t="s">
        <v>41</v>
      </c>
      <c r="D10" s="3" t="s">
        <v>42</v>
      </c>
      <c r="E10" s="3">
        <v>4</v>
      </c>
      <c r="F10" s="3" t="s">
        <v>20</v>
      </c>
      <c r="G10" s="4">
        <v>4500</v>
      </c>
      <c r="H10" s="4">
        <v>5200</v>
      </c>
      <c r="I10" s="4">
        <v>6000</v>
      </c>
      <c r="J10" s="5" t="s">
        <v>43</v>
      </c>
      <c r="K10" s="3">
        <v>45</v>
      </c>
      <c r="L10" s="3" t="s">
        <v>22</v>
      </c>
      <c r="M10" s="3" t="s">
        <v>38</v>
      </c>
      <c r="N10" s="5"/>
    </row>
    <row r="11" spans="1:14" ht="19.5" customHeight="1" x14ac:dyDescent="0.3">
      <c r="A11" s="6" t="s">
        <v>44</v>
      </c>
      <c r="B11" s="7" t="s">
        <v>17</v>
      </c>
      <c r="C11" s="7" t="s">
        <v>41</v>
      </c>
      <c r="D11" s="7" t="s">
        <v>42</v>
      </c>
      <c r="E11" s="7">
        <v>4</v>
      </c>
      <c r="F11" s="7" t="s">
        <v>32</v>
      </c>
      <c r="G11" s="8">
        <v>4800</v>
      </c>
      <c r="H11" s="8">
        <v>5500</v>
      </c>
      <c r="I11" s="8">
        <v>6500</v>
      </c>
      <c r="J11" s="9" t="s">
        <v>43</v>
      </c>
      <c r="K11" s="7">
        <v>48</v>
      </c>
      <c r="L11" s="7" t="s">
        <v>22</v>
      </c>
      <c r="M11" s="7" t="s">
        <v>23</v>
      </c>
      <c r="N11" s="9"/>
    </row>
    <row r="12" spans="1:14" ht="19.5" customHeight="1" x14ac:dyDescent="0.3">
      <c r="A12" s="2" t="s">
        <v>45</v>
      </c>
      <c r="B12" s="3" t="s">
        <v>46</v>
      </c>
      <c r="C12" s="3" t="s">
        <v>18</v>
      </c>
      <c r="D12" s="3" t="s">
        <v>19</v>
      </c>
      <c r="E12" s="3">
        <v>2</v>
      </c>
      <c r="F12" s="3" t="s">
        <v>36</v>
      </c>
      <c r="G12" s="4">
        <v>2800</v>
      </c>
      <c r="H12" s="4">
        <v>3300</v>
      </c>
      <c r="I12" s="4">
        <v>3800</v>
      </c>
      <c r="J12" s="5" t="s">
        <v>21</v>
      </c>
      <c r="K12" s="3">
        <v>24</v>
      </c>
      <c r="L12" s="3" t="s">
        <v>22</v>
      </c>
      <c r="M12" s="3" t="s">
        <v>23</v>
      </c>
      <c r="N12" s="5"/>
    </row>
    <row r="13" spans="1:14" ht="19.5" customHeight="1" x14ac:dyDescent="0.3">
      <c r="A13" s="6" t="s">
        <v>47</v>
      </c>
      <c r="B13" s="7" t="s">
        <v>46</v>
      </c>
      <c r="C13" s="7" t="s">
        <v>18</v>
      </c>
      <c r="D13" s="7" t="s">
        <v>27</v>
      </c>
      <c r="E13" s="7">
        <v>3</v>
      </c>
      <c r="F13" s="7" t="s">
        <v>36</v>
      </c>
      <c r="G13" s="8">
        <v>2800</v>
      </c>
      <c r="H13" s="8">
        <v>3300</v>
      </c>
      <c r="I13" s="8">
        <v>3800</v>
      </c>
      <c r="J13" s="9" t="s">
        <v>28</v>
      </c>
      <c r="K13" s="7">
        <v>26</v>
      </c>
      <c r="L13" s="7" t="s">
        <v>22</v>
      </c>
      <c r="M13" s="7" t="s">
        <v>23</v>
      </c>
      <c r="N13" s="9"/>
    </row>
    <row r="14" spans="1:14" ht="19.5" customHeight="1" x14ac:dyDescent="0.3">
      <c r="A14" s="2" t="s">
        <v>48</v>
      </c>
      <c r="B14" s="3" t="s">
        <v>46</v>
      </c>
      <c r="C14" s="3" t="s">
        <v>34</v>
      </c>
      <c r="D14" s="3" t="s">
        <v>35</v>
      </c>
      <c r="E14" s="3">
        <v>2</v>
      </c>
      <c r="F14" s="3" t="s">
        <v>36</v>
      </c>
      <c r="G14" s="4">
        <v>4000</v>
      </c>
      <c r="H14" s="4">
        <v>4800</v>
      </c>
      <c r="I14" s="4">
        <v>5500</v>
      </c>
      <c r="J14" s="5" t="s">
        <v>37</v>
      </c>
      <c r="K14" s="3">
        <v>33</v>
      </c>
      <c r="L14" s="3" t="s">
        <v>22</v>
      </c>
      <c r="M14" s="3" t="s">
        <v>38</v>
      </c>
      <c r="N14" s="5"/>
    </row>
    <row r="15" spans="1:14" ht="19.5" customHeight="1" x14ac:dyDescent="0.3">
      <c r="A15" s="6" t="s">
        <v>49</v>
      </c>
      <c r="B15" s="7" t="s">
        <v>46</v>
      </c>
      <c r="C15" s="7" t="s">
        <v>34</v>
      </c>
      <c r="D15" s="7" t="s">
        <v>35</v>
      </c>
      <c r="E15" s="7">
        <v>2</v>
      </c>
      <c r="F15" s="7" t="s">
        <v>50</v>
      </c>
      <c r="G15" s="8">
        <v>4000</v>
      </c>
      <c r="H15" s="8">
        <v>4800</v>
      </c>
      <c r="I15" s="8">
        <v>5500</v>
      </c>
      <c r="J15" s="9" t="s">
        <v>37</v>
      </c>
      <c r="K15" s="7">
        <v>33</v>
      </c>
      <c r="L15" s="7" t="s">
        <v>22</v>
      </c>
      <c r="M15" s="7" t="s">
        <v>23</v>
      </c>
      <c r="N15" s="9"/>
    </row>
    <row r="16" spans="1:14" ht="19.5" customHeight="1" x14ac:dyDescent="0.3">
      <c r="A16" s="2" t="s">
        <v>51</v>
      </c>
      <c r="B16" s="3" t="s">
        <v>46</v>
      </c>
      <c r="C16" s="3" t="s">
        <v>34</v>
      </c>
      <c r="D16" s="3" t="s">
        <v>52</v>
      </c>
      <c r="E16" s="3">
        <v>4</v>
      </c>
      <c r="F16" s="3" t="s">
        <v>50</v>
      </c>
      <c r="G16" s="4">
        <v>4500</v>
      </c>
      <c r="H16" s="4">
        <v>5200</v>
      </c>
      <c r="I16" s="4">
        <v>6000</v>
      </c>
      <c r="J16" s="5" t="s">
        <v>37</v>
      </c>
      <c r="K16" s="3">
        <v>36</v>
      </c>
      <c r="L16" s="3" t="s">
        <v>22</v>
      </c>
      <c r="M16" s="3" t="s">
        <v>23</v>
      </c>
      <c r="N16" s="5"/>
    </row>
    <row r="17" spans="1:14" ht="19.5" customHeight="1" x14ac:dyDescent="0.3">
      <c r="A17" s="6" t="s">
        <v>53</v>
      </c>
      <c r="B17" s="7" t="s">
        <v>46</v>
      </c>
      <c r="C17" s="7" t="s">
        <v>54</v>
      </c>
      <c r="D17" s="7" t="s">
        <v>35</v>
      </c>
      <c r="E17" s="7">
        <v>2</v>
      </c>
      <c r="F17" s="7" t="s">
        <v>36</v>
      </c>
      <c r="G17" s="8">
        <v>6500</v>
      </c>
      <c r="H17" s="8">
        <v>7500</v>
      </c>
      <c r="I17" s="8">
        <v>9000</v>
      </c>
      <c r="J17" s="9" t="s">
        <v>55</v>
      </c>
      <c r="K17" s="7">
        <v>52</v>
      </c>
      <c r="L17" s="7" t="s">
        <v>22</v>
      </c>
      <c r="M17" s="7" t="s">
        <v>38</v>
      </c>
      <c r="N17" s="9"/>
    </row>
    <row r="18" spans="1:14" ht="19.5" customHeight="1" x14ac:dyDescent="0.3">
      <c r="A18" s="2" t="s">
        <v>56</v>
      </c>
      <c r="B18" s="3" t="s">
        <v>46</v>
      </c>
      <c r="C18" s="3" t="s">
        <v>54</v>
      </c>
      <c r="D18" s="3" t="s">
        <v>35</v>
      </c>
      <c r="E18" s="3">
        <v>2</v>
      </c>
      <c r="F18" s="3" t="s">
        <v>50</v>
      </c>
      <c r="G18" s="4">
        <v>6500</v>
      </c>
      <c r="H18" s="4">
        <v>7500</v>
      </c>
      <c r="I18" s="4">
        <v>9000</v>
      </c>
      <c r="J18" s="5" t="s">
        <v>55</v>
      </c>
      <c r="K18" s="3">
        <v>52</v>
      </c>
      <c r="L18" s="3" t="s">
        <v>22</v>
      </c>
      <c r="M18" s="3" t="s">
        <v>23</v>
      </c>
      <c r="N18" s="5"/>
    </row>
    <row r="19" spans="1:14" ht="19.5" customHeight="1" x14ac:dyDescent="0.3">
      <c r="A19" s="6" t="s">
        <v>57</v>
      </c>
      <c r="B19" s="7" t="s">
        <v>46</v>
      </c>
      <c r="C19" s="7" t="s">
        <v>41</v>
      </c>
      <c r="D19" s="7" t="s">
        <v>42</v>
      </c>
      <c r="E19" s="7">
        <v>5</v>
      </c>
      <c r="F19" s="7" t="s">
        <v>36</v>
      </c>
      <c r="G19" s="8">
        <v>5000</v>
      </c>
      <c r="H19" s="8">
        <v>5800</v>
      </c>
      <c r="I19" s="8">
        <v>7000</v>
      </c>
      <c r="J19" s="9" t="s">
        <v>58</v>
      </c>
      <c r="K19" s="7">
        <v>55</v>
      </c>
      <c r="L19" s="7" t="s">
        <v>22</v>
      </c>
      <c r="M19" s="7" t="s">
        <v>23</v>
      </c>
      <c r="N19" s="9"/>
    </row>
    <row r="20" spans="1:14" ht="19.5" customHeight="1" x14ac:dyDescent="0.3">
      <c r="A20" s="2" t="s">
        <v>59</v>
      </c>
      <c r="B20" s="3" t="s">
        <v>60</v>
      </c>
      <c r="C20" s="3" t="s">
        <v>34</v>
      </c>
      <c r="D20" s="3" t="s">
        <v>35</v>
      </c>
      <c r="E20" s="3">
        <v>2</v>
      </c>
      <c r="F20" s="3" t="s">
        <v>36</v>
      </c>
      <c r="G20" s="4">
        <v>4200</v>
      </c>
      <c r="H20" s="4">
        <v>5000</v>
      </c>
      <c r="I20" s="4">
        <v>5800</v>
      </c>
      <c r="J20" s="5" t="s">
        <v>37</v>
      </c>
      <c r="K20" s="3">
        <v>34</v>
      </c>
      <c r="L20" s="3" t="s">
        <v>22</v>
      </c>
      <c r="M20" s="3" t="s">
        <v>23</v>
      </c>
      <c r="N20" s="5" t="s">
        <v>61</v>
      </c>
    </row>
    <row r="21" spans="1:14" ht="19.5" customHeight="1" x14ac:dyDescent="0.3">
      <c r="A21" s="6" t="s">
        <v>62</v>
      </c>
      <c r="B21" s="7" t="s">
        <v>60</v>
      </c>
      <c r="C21" s="7" t="s">
        <v>34</v>
      </c>
      <c r="D21" s="7" t="s">
        <v>35</v>
      </c>
      <c r="E21" s="7">
        <v>2</v>
      </c>
      <c r="F21" s="7" t="s">
        <v>63</v>
      </c>
      <c r="G21" s="8">
        <v>4500</v>
      </c>
      <c r="H21" s="8">
        <v>5200</v>
      </c>
      <c r="I21" s="8">
        <v>6200</v>
      </c>
      <c r="J21" s="9" t="s">
        <v>64</v>
      </c>
      <c r="K21" s="7">
        <v>36</v>
      </c>
      <c r="L21" s="7" t="s">
        <v>22</v>
      </c>
      <c r="M21" s="7" t="s">
        <v>38</v>
      </c>
      <c r="N21" s="9"/>
    </row>
    <row r="22" spans="1:14" ht="19.5" customHeight="1" x14ac:dyDescent="0.3">
      <c r="A22" s="2" t="s">
        <v>65</v>
      </c>
      <c r="B22" s="3" t="s">
        <v>60</v>
      </c>
      <c r="C22" s="3" t="s">
        <v>54</v>
      </c>
      <c r="D22" s="3" t="s">
        <v>35</v>
      </c>
      <c r="E22" s="3">
        <v>2</v>
      </c>
      <c r="F22" s="3" t="s">
        <v>63</v>
      </c>
      <c r="G22" s="4">
        <v>7000</v>
      </c>
      <c r="H22" s="4">
        <v>8000</v>
      </c>
      <c r="I22" s="4">
        <v>9500</v>
      </c>
      <c r="J22" s="5" t="s">
        <v>55</v>
      </c>
      <c r="K22" s="3">
        <v>55</v>
      </c>
      <c r="L22" s="3" t="s">
        <v>22</v>
      </c>
      <c r="M22" s="3" t="s">
        <v>23</v>
      </c>
      <c r="N22" s="5"/>
    </row>
    <row r="23" spans="1:14" ht="19.5" customHeight="1" x14ac:dyDescent="0.3">
      <c r="A23" s="6" t="s">
        <v>66</v>
      </c>
      <c r="B23" s="7" t="s">
        <v>60</v>
      </c>
      <c r="C23" s="7" t="s">
        <v>54</v>
      </c>
      <c r="D23" s="7" t="s">
        <v>67</v>
      </c>
      <c r="E23" s="7">
        <v>3</v>
      </c>
      <c r="F23" s="7" t="s">
        <v>36</v>
      </c>
      <c r="G23" s="8">
        <v>7200</v>
      </c>
      <c r="H23" s="8">
        <v>8200</v>
      </c>
      <c r="I23" s="8">
        <v>9800</v>
      </c>
      <c r="J23" s="9" t="s">
        <v>55</v>
      </c>
      <c r="K23" s="7">
        <v>58</v>
      </c>
      <c r="L23" s="7" t="s">
        <v>22</v>
      </c>
      <c r="M23" s="7" t="s">
        <v>38</v>
      </c>
      <c r="N23" s="9" t="s">
        <v>68</v>
      </c>
    </row>
    <row r="24" spans="1:14" ht="19.5" customHeight="1" x14ac:dyDescent="0.3">
      <c r="A24" s="2" t="s">
        <v>69</v>
      </c>
      <c r="B24" s="3" t="s">
        <v>60</v>
      </c>
      <c r="C24" s="3" t="s">
        <v>70</v>
      </c>
      <c r="D24" s="3" t="s">
        <v>35</v>
      </c>
      <c r="E24" s="3">
        <v>2</v>
      </c>
      <c r="F24" s="3" t="s">
        <v>63</v>
      </c>
      <c r="G24" s="4">
        <v>10500</v>
      </c>
      <c r="H24" s="4">
        <v>12000</v>
      </c>
      <c r="I24" s="4">
        <v>15000</v>
      </c>
      <c r="J24" s="5" t="s">
        <v>71</v>
      </c>
      <c r="K24" s="3">
        <v>80</v>
      </c>
      <c r="L24" s="3" t="s">
        <v>22</v>
      </c>
      <c r="M24" s="3" t="s">
        <v>23</v>
      </c>
      <c r="N24" s="5"/>
    </row>
    <row r="25" spans="1:14" ht="19.5" customHeight="1" x14ac:dyDescent="0.3">
      <c r="A25" s="6" t="s">
        <v>72</v>
      </c>
      <c r="B25" s="7" t="s">
        <v>60</v>
      </c>
      <c r="C25" s="7" t="s">
        <v>70</v>
      </c>
      <c r="D25" s="7" t="s">
        <v>35</v>
      </c>
      <c r="E25" s="7">
        <v>2</v>
      </c>
      <c r="F25" s="7" t="s">
        <v>36</v>
      </c>
      <c r="G25" s="8">
        <v>10000</v>
      </c>
      <c r="H25" s="8">
        <v>11500</v>
      </c>
      <c r="I25" s="8">
        <v>14000</v>
      </c>
      <c r="J25" s="9" t="s">
        <v>73</v>
      </c>
      <c r="K25" s="7">
        <v>78</v>
      </c>
      <c r="L25" s="7" t="s">
        <v>22</v>
      </c>
      <c r="M25" s="7" t="s">
        <v>29</v>
      </c>
      <c r="N25" s="9" t="s">
        <v>74</v>
      </c>
    </row>
    <row r="26" spans="1:14" ht="19.5" customHeight="1" x14ac:dyDescent="0.3">
      <c r="A26" s="2" t="s">
        <v>75</v>
      </c>
      <c r="B26" s="3" t="s">
        <v>60</v>
      </c>
      <c r="C26" s="3" t="s">
        <v>76</v>
      </c>
      <c r="D26" s="3" t="s">
        <v>77</v>
      </c>
      <c r="E26" s="3">
        <v>6</v>
      </c>
      <c r="F26" s="3" t="s">
        <v>63</v>
      </c>
      <c r="G26" s="4">
        <v>18000</v>
      </c>
      <c r="H26" s="4">
        <v>22000</v>
      </c>
      <c r="I26" s="4">
        <v>28000</v>
      </c>
      <c r="J26" s="5" t="s">
        <v>78</v>
      </c>
      <c r="K26" s="3">
        <v>150</v>
      </c>
      <c r="L26" s="3" t="s">
        <v>22</v>
      </c>
      <c r="M26" s="3" t="s">
        <v>23</v>
      </c>
      <c r="N26" s="5" t="s">
        <v>79</v>
      </c>
    </row>
    <row r="27" spans="1:14" ht="19.5" customHeight="1" x14ac:dyDescent="0.3">
      <c r="A27" s="6" t="s">
        <v>80</v>
      </c>
      <c r="B27" s="7" t="s">
        <v>81</v>
      </c>
      <c r="C27" s="7" t="s">
        <v>82</v>
      </c>
      <c r="D27" s="7" t="s">
        <v>42</v>
      </c>
      <c r="E27" s="7">
        <v>4</v>
      </c>
      <c r="F27" s="7" t="s">
        <v>83</v>
      </c>
      <c r="G27" s="8">
        <v>5500</v>
      </c>
      <c r="H27" s="8">
        <v>6500</v>
      </c>
      <c r="I27" s="8">
        <v>8000</v>
      </c>
      <c r="J27" s="9" t="s">
        <v>84</v>
      </c>
      <c r="K27" s="7">
        <v>40</v>
      </c>
      <c r="L27" s="7" t="s">
        <v>22</v>
      </c>
      <c r="M27" s="7" t="s">
        <v>23</v>
      </c>
      <c r="N27" s="9" t="s">
        <v>85</v>
      </c>
    </row>
    <row r="28" spans="1:14" ht="19.5" customHeight="1" x14ac:dyDescent="0.3">
      <c r="A28" s="2" t="s">
        <v>86</v>
      </c>
      <c r="B28" s="3" t="s">
        <v>81</v>
      </c>
      <c r="C28" s="3" t="s">
        <v>82</v>
      </c>
      <c r="D28" s="3" t="s">
        <v>42</v>
      </c>
      <c r="E28" s="3">
        <v>4</v>
      </c>
      <c r="F28" s="3" t="s">
        <v>83</v>
      </c>
      <c r="G28" s="4">
        <v>5500</v>
      </c>
      <c r="H28" s="4">
        <v>6500</v>
      </c>
      <c r="I28" s="4">
        <v>8000</v>
      </c>
      <c r="J28" s="5" t="s">
        <v>84</v>
      </c>
      <c r="K28" s="3">
        <v>40</v>
      </c>
      <c r="L28" s="3" t="s">
        <v>22</v>
      </c>
      <c r="M28" s="3" t="s">
        <v>38</v>
      </c>
      <c r="N28" s="5"/>
    </row>
    <row r="29" spans="1:14" ht="19.5" customHeight="1" x14ac:dyDescent="0.3">
      <c r="A29" s="6" t="s">
        <v>87</v>
      </c>
      <c r="B29" s="7" t="s">
        <v>81</v>
      </c>
      <c r="C29" s="7" t="s">
        <v>82</v>
      </c>
      <c r="D29" s="7" t="s">
        <v>77</v>
      </c>
      <c r="E29" s="7">
        <v>6</v>
      </c>
      <c r="F29" s="7" t="s">
        <v>20</v>
      </c>
      <c r="G29" s="8">
        <v>7000</v>
      </c>
      <c r="H29" s="8">
        <v>8500</v>
      </c>
      <c r="I29" s="8">
        <v>10000</v>
      </c>
      <c r="J29" s="9" t="s">
        <v>88</v>
      </c>
      <c r="K29" s="7">
        <v>55</v>
      </c>
      <c r="L29" s="7" t="s">
        <v>22</v>
      </c>
      <c r="M29" s="7" t="s">
        <v>23</v>
      </c>
      <c r="N29" s="9" t="s">
        <v>89</v>
      </c>
    </row>
    <row r="30" spans="1:14" ht="19.5" customHeight="1" x14ac:dyDescent="0.3">
      <c r="A30" s="2" t="s">
        <v>90</v>
      </c>
      <c r="B30" s="3" t="s">
        <v>81</v>
      </c>
      <c r="C30" s="3" t="s">
        <v>91</v>
      </c>
      <c r="D30" s="3" t="s">
        <v>27</v>
      </c>
      <c r="E30" s="3">
        <v>2</v>
      </c>
      <c r="F30" s="3" t="s">
        <v>83</v>
      </c>
      <c r="G30" s="4">
        <v>1800</v>
      </c>
      <c r="H30" s="4">
        <v>2200</v>
      </c>
      <c r="I30" s="4">
        <v>2800</v>
      </c>
      <c r="J30" s="5" t="s">
        <v>92</v>
      </c>
      <c r="K30" s="3">
        <v>18</v>
      </c>
      <c r="L30" s="3" t="s">
        <v>22</v>
      </c>
      <c r="M30" s="3" t="s">
        <v>23</v>
      </c>
      <c r="N30" s="5" t="s">
        <v>93</v>
      </c>
    </row>
    <row r="31" spans="1:14" ht="19.5" customHeight="1" x14ac:dyDescent="0.3">
      <c r="A31" s="6" t="s">
        <v>94</v>
      </c>
      <c r="B31" s="7" t="s">
        <v>81</v>
      </c>
      <c r="C31" s="7" t="s">
        <v>91</v>
      </c>
      <c r="D31" s="7" t="s">
        <v>19</v>
      </c>
      <c r="E31" s="7">
        <v>2</v>
      </c>
      <c r="F31" s="7" t="s">
        <v>36</v>
      </c>
      <c r="G31" s="8">
        <v>2000</v>
      </c>
      <c r="H31" s="8">
        <v>2500</v>
      </c>
      <c r="I31" s="8">
        <v>3200</v>
      </c>
      <c r="J31" s="9" t="s">
        <v>92</v>
      </c>
      <c r="K31" s="7">
        <v>20</v>
      </c>
      <c r="L31" s="7" t="s">
        <v>22</v>
      </c>
      <c r="M31" s="7" t="s">
        <v>23</v>
      </c>
      <c r="N31" s="9"/>
    </row>
    <row r="32" spans="1:14" ht="19.5" customHeight="1" x14ac:dyDescent="0.3">
      <c r="A32" s="2" t="s">
        <v>95</v>
      </c>
      <c r="B32" s="3" t="s">
        <v>81</v>
      </c>
      <c r="C32" s="3" t="s">
        <v>91</v>
      </c>
      <c r="D32" s="3" t="s">
        <v>27</v>
      </c>
      <c r="E32" s="3">
        <v>2</v>
      </c>
      <c r="F32" s="3" t="s">
        <v>83</v>
      </c>
      <c r="G32" s="4">
        <v>1800</v>
      </c>
      <c r="H32" s="4">
        <v>2200</v>
      </c>
      <c r="I32" s="4">
        <v>2800</v>
      </c>
      <c r="J32" s="5" t="s">
        <v>92</v>
      </c>
      <c r="K32" s="3">
        <v>18</v>
      </c>
      <c r="L32" s="3" t="s">
        <v>22</v>
      </c>
      <c r="M32" s="3" t="s">
        <v>96</v>
      </c>
      <c r="N32" s="5" t="s">
        <v>97</v>
      </c>
    </row>
    <row r="33" spans="1:14" ht="19.5" customHeight="1" x14ac:dyDescent="0.3">
      <c r="A33" s="6" t="s">
        <v>98</v>
      </c>
      <c r="B33" s="7" t="s">
        <v>81</v>
      </c>
      <c r="C33" s="7" t="s">
        <v>99</v>
      </c>
      <c r="D33" s="7" t="s">
        <v>100</v>
      </c>
      <c r="E33" s="7">
        <v>8</v>
      </c>
      <c r="F33" s="7" t="s">
        <v>20</v>
      </c>
      <c r="G33" s="8">
        <v>600</v>
      </c>
      <c r="H33" s="8">
        <v>700</v>
      </c>
      <c r="I33" s="8">
        <v>900</v>
      </c>
      <c r="J33" s="9" t="s">
        <v>101</v>
      </c>
      <c r="K33" s="7">
        <v>65</v>
      </c>
      <c r="L33" s="7" t="s">
        <v>22</v>
      </c>
      <c r="M33" s="7" t="s">
        <v>23</v>
      </c>
      <c r="N33" s="9" t="s">
        <v>102</v>
      </c>
    </row>
    <row r="34" spans="1:14" ht="19.5" customHeight="1" x14ac:dyDescent="0.3">
      <c r="A34" s="2" t="s">
        <v>103</v>
      </c>
      <c r="B34" s="3" t="s">
        <v>81</v>
      </c>
      <c r="C34" s="3" t="s">
        <v>99</v>
      </c>
      <c r="D34" s="3" t="s">
        <v>104</v>
      </c>
      <c r="E34" s="3">
        <v>10</v>
      </c>
      <c r="F34" s="3" t="s">
        <v>20</v>
      </c>
      <c r="G34" s="4">
        <v>600</v>
      </c>
      <c r="H34" s="4">
        <v>700</v>
      </c>
      <c r="I34" s="4">
        <v>900</v>
      </c>
      <c r="J34" s="5" t="s">
        <v>101</v>
      </c>
      <c r="K34" s="3">
        <v>75</v>
      </c>
      <c r="L34" s="3" t="s">
        <v>22</v>
      </c>
      <c r="M34" s="3" t="s">
        <v>23</v>
      </c>
      <c r="N34" s="5" t="s">
        <v>102</v>
      </c>
    </row>
  </sheetData>
  <autoFilter ref="A3:N34"/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D6A4F"/>
  </sheetPr>
  <dimension ref="A1:M38"/>
  <sheetViews>
    <sheetView showGridLines="0" tabSelected="1" topLeftCell="C1" zoomScaleNormal="100" workbookViewId="0">
      <pane ySplit="3" topLeftCell="A25" activePane="bottomLeft" state="frozen"/>
      <selection pane="bottomLeft" activeCell="I41" sqref="I41"/>
    </sheetView>
  </sheetViews>
  <sheetFormatPr defaultColWidth="8.6640625" defaultRowHeight="14.4" x14ac:dyDescent="0.3"/>
  <cols>
    <col min="1" max="1" width="11" customWidth="1"/>
    <col min="2" max="3" width="16" customWidth="1"/>
    <col min="4" max="4" width="15" customWidth="1"/>
    <col min="5" max="5" width="28" customWidth="1"/>
    <col min="6" max="6" width="14" customWidth="1"/>
    <col min="7" max="7" width="16" customWidth="1"/>
    <col min="8" max="8" width="18" customWidth="1"/>
    <col min="9" max="9" width="35" customWidth="1"/>
    <col min="10" max="10" width="12" customWidth="1"/>
    <col min="11" max="11" width="11" customWidth="1"/>
    <col min="12" max="12" width="12" customWidth="1"/>
    <col min="13" max="13" width="14" customWidth="1"/>
  </cols>
  <sheetData>
    <row r="1" spans="1:13" ht="42" customHeight="1" x14ac:dyDescent="0.3">
      <c r="A1" s="26" t="s">
        <v>105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19.5" customHeight="1" x14ac:dyDescent="0.3">
      <c r="A2" s="27" t="s">
        <v>106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ht="27.75" customHeight="1" x14ac:dyDescent="0.3">
      <c r="A3" s="1" t="s">
        <v>107</v>
      </c>
      <c r="B3" s="1" t="s">
        <v>108</v>
      </c>
      <c r="C3" s="1" t="s">
        <v>109</v>
      </c>
      <c r="D3" s="1" t="s">
        <v>110</v>
      </c>
      <c r="E3" s="1" t="s">
        <v>111</v>
      </c>
      <c r="F3" s="1" t="s">
        <v>112</v>
      </c>
      <c r="G3" s="1" t="s">
        <v>113</v>
      </c>
      <c r="H3" s="1" t="s">
        <v>114</v>
      </c>
      <c r="I3" s="1" t="s">
        <v>115</v>
      </c>
      <c r="J3" s="1" t="s">
        <v>116</v>
      </c>
      <c r="K3" s="1" t="s">
        <v>117</v>
      </c>
      <c r="L3" s="1" t="s">
        <v>118</v>
      </c>
      <c r="M3" s="1" t="s">
        <v>119</v>
      </c>
    </row>
    <row r="4" spans="1:13" ht="18" customHeight="1" x14ac:dyDescent="0.3">
      <c r="A4" s="2" t="s">
        <v>120</v>
      </c>
      <c r="B4" s="10" t="s">
        <v>121</v>
      </c>
      <c r="C4" s="10" t="s">
        <v>122</v>
      </c>
      <c r="D4" s="3" t="s">
        <v>599</v>
      </c>
      <c r="E4" s="10" t="s">
        <v>600</v>
      </c>
      <c r="F4" s="3" t="s">
        <v>123</v>
      </c>
      <c r="G4" s="3" t="s">
        <v>124</v>
      </c>
      <c r="H4" s="3" t="s">
        <v>599</v>
      </c>
      <c r="I4" s="10" t="s">
        <v>125</v>
      </c>
      <c r="J4" s="11">
        <v>32217</v>
      </c>
      <c r="K4" s="3" t="s">
        <v>126</v>
      </c>
      <c r="L4" s="3">
        <v>8</v>
      </c>
      <c r="M4" s="4">
        <v>85000</v>
      </c>
    </row>
    <row r="5" spans="1:13" ht="18" customHeight="1" x14ac:dyDescent="0.3">
      <c r="A5" s="6" t="s">
        <v>127</v>
      </c>
      <c r="B5" s="12" t="s">
        <v>128</v>
      </c>
      <c r="C5" s="12" t="s">
        <v>129</v>
      </c>
      <c r="D5" s="3" t="s">
        <v>599</v>
      </c>
      <c r="E5" s="10" t="s">
        <v>600</v>
      </c>
      <c r="F5" s="7" t="s">
        <v>123</v>
      </c>
      <c r="G5" s="7" t="s">
        <v>130</v>
      </c>
      <c r="H5" s="3" t="s">
        <v>599</v>
      </c>
      <c r="I5" s="12" t="s">
        <v>131</v>
      </c>
      <c r="J5" s="13">
        <v>27597</v>
      </c>
      <c r="K5" s="7" t="s">
        <v>132</v>
      </c>
      <c r="L5" s="7">
        <v>3</v>
      </c>
      <c r="M5" s="8">
        <v>24000</v>
      </c>
    </row>
    <row r="6" spans="1:13" ht="18" customHeight="1" x14ac:dyDescent="0.3">
      <c r="A6" s="2" t="s">
        <v>133</v>
      </c>
      <c r="B6" s="10" t="s">
        <v>134</v>
      </c>
      <c r="C6" s="10" t="s">
        <v>135</v>
      </c>
      <c r="D6" s="3" t="s">
        <v>599</v>
      </c>
      <c r="E6" s="10" t="s">
        <v>600</v>
      </c>
      <c r="F6" s="3" t="s">
        <v>123</v>
      </c>
      <c r="G6" s="3" t="s">
        <v>136</v>
      </c>
      <c r="H6" s="3" t="s">
        <v>599</v>
      </c>
      <c r="I6" s="10" t="s">
        <v>137</v>
      </c>
      <c r="J6" s="11">
        <v>33916</v>
      </c>
      <c r="K6" s="3" t="s">
        <v>126</v>
      </c>
      <c r="L6" s="3">
        <v>12</v>
      </c>
      <c r="M6" s="4">
        <v>156000</v>
      </c>
    </row>
    <row r="7" spans="1:13" ht="18" customHeight="1" x14ac:dyDescent="0.3">
      <c r="A7" s="6" t="s">
        <v>138</v>
      </c>
      <c r="B7" s="12" t="s">
        <v>139</v>
      </c>
      <c r="C7" s="12" t="s">
        <v>140</v>
      </c>
      <c r="D7" s="3" t="s">
        <v>599</v>
      </c>
      <c r="E7" s="10" t="s">
        <v>600</v>
      </c>
      <c r="F7" s="7" t="s">
        <v>123</v>
      </c>
      <c r="G7" s="7" t="s">
        <v>141</v>
      </c>
      <c r="H7" s="3" t="s">
        <v>599</v>
      </c>
      <c r="I7" s="12" t="s">
        <v>142</v>
      </c>
      <c r="J7" s="13">
        <v>31228</v>
      </c>
      <c r="K7" s="7" t="s">
        <v>132</v>
      </c>
      <c r="L7" s="7">
        <v>2</v>
      </c>
      <c r="M7" s="8">
        <v>18500</v>
      </c>
    </row>
    <row r="8" spans="1:13" ht="18" customHeight="1" x14ac:dyDescent="0.3">
      <c r="A8" s="2" t="s">
        <v>143</v>
      </c>
      <c r="B8" s="10" t="s">
        <v>144</v>
      </c>
      <c r="C8" s="10" t="s">
        <v>145</v>
      </c>
      <c r="D8" s="3" t="s">
        <v>599</v>
      </c>
      <c r="E8" s="10" t="s">
        <v>600</v>
      </c>
      <c r="F8" s="3" t="s">
        <v>123</v>
      </c>
      <c r="G8" s="3" t="s">
        <v>124</v>
      </c>
      <c r="H8" s="3" t="s">
        <v>599</v>
      </c>
      <c r="I8" s="10" t="s">
        <v>146</v>
      </c>
      <c r="J8" s="11">
        <v>33128</v>
      </c>
      <c r="K8" s="3" t="s">
        <v>132</v>
      </c>
      <c r="L8" s="3">
        <v>5</v>
      </c>
      <c r="M8" s="4">
        <v>41000</v>
      </c>
    </row>
    <row r="9" spans="1:13" ht="18" customHeight="1" x14ac:dyDescent="0.3">
      <c r="A9" s="6" t="s">
        <v>147</v>
      </c>
      <c r="B9" s="12" t="s">
        <v>148</v>
      </c>
      <c r="C9" s="12" t="s">
        <v>149</v>
      </c>
      <c r="D9" s="3" t="s">
        <v>599</v>
      </c>
      <c r="E9" s="10" t="s">
        <v>600</v>
      </c>
      <c r="F9" s="7" t="s">
        <v>150</v>
      </c>
      <c r="G9" s="7" t="s">
        <v>136</v>
      </c>
      <c r="H9" s="3" t="s">
        <v>599</v>
      </c>
      <c r="I9" s="12" t="s">
        <v>151</v>
      </c>
      <c r="J9" s="13">
        <v>34702</v>
      </c>
      <c r="K9" s="7" t="s">
        <v>132</v>
      </c>
      <c r="L9" s="7">
        <v>1</v>
      </c>
      <c r="M9" s="8">
        <v>22000</v>
      </c>
    </row>
    <row r="10" spans="1:13" ht="18" customHeight="1" x14ac:dyDescent="0.3">
      <c r="A10" s="2" t="s">
        <v>152</v>
      </c>
      <c r="B10" s="10" t="s">
        <v>153</v>
      </c>
      <c r="C10" s="10" t="s">
        <v>154</v>
      </c>
      <c r="D10" s="3" t="s">
        <v>599</v>
      </c>
      <c r="E10" s="10" t="s">
        <v>600</v>
      </c>
      <c r="F10" s="3" t="s">
        <v>155</v>
      </c>
      <c r="G10" s="3" t="s">
        <v>136</v>
      </c>
      <c r="H10" s="3" t="s">
        <v>599</v>
      </c>
      <c r="I10" s="10" t="s">
        <v>156</v>
      </c>
      <c r="J10" s="11">
        <v>32251</v>
      </c>
      <c r="K10" s="3" t="s">
        <v>132</v>
      </c>
      <c r="L10" s="3">
        <v>1</v>
      </c>
      <c r="M10" s="4">
        <v>15000</v>
      </c>
    </row>
    <row r="11" spans="1:13" ht="18" customHeight="1" x14ac:dyDescent="0.3">
      <c r="A11" s="6" t="s">
        <v>157</v>
      </c>
      <c r="B11" s="12" t="s">
        <v>158</v>
      </c>
      <c r="C11" s="12" t="s">
        <v>159</v>
      </c>
      <c r="D11" s="3" t="s">
        <v>599</v>
      </c>
      <c r="E11" s="10" t="s">
        <v>600</v>
      </c>
      <c r="F11" s="7" t="s">
        <v>123</v>
      </c>
      <c r="G11" s="7" t="s">
        <v>130</v>
      </c>
      <c r="H11" s="3" t="s">
        <v>599</v>
      </c>
      <c r="I11" s="12" t="s">
        <v>160</v>
      </c>
      <c r="J11" s="13">
        <v>28829</v>
      </c>
      <c r="K11" s="7" t="s">
        <v>161</v>
      </c>
      <c r="L11" s="7">
        <v>22</v>
      </c>
      <c r="M11" s="8">
        <v>385000</v>
      </c>
    </row>
    <row r="12" spans="1:13" ht="18" customHeight="1" x14ac:dyDescent="0.3">
      <c r="A12" s="2" t="s">
        <v>162</v>
      </c>
      <c r="B12" s="10" t="s">
        <v>163</v>
      </c>
      <c r="C12" s="10" t="s">
        <v>164</v>
      </c>
      <c r="D12" s="3" t="s">
        <v>599</v>
      </c>
      <c r="E12" s="10" t="s">
        <v>600</v>
      </c>
      <c r="F12" s="3" t="s">
        <v>123</v>
      </c>
      <c r="G12" s="3" t="s">
        <v>136</v>
      </c>
      <c r="H12" s="3" t="s">
        <v>599</v>
      </c>
      <c r="I12" s="10" t="s">
        <v>165</v>
      </c>
      <c r="J12" s="11">
        <v>34208</v>
      </c>
      <c r="K12" s="3" t="s">
        <v>132</v>
      </c>
      <c r="L12" s="3">
        <v>2</v>
      </c>
      <c r="M12" s="4">
        <v>19000</v>
      </c>
    </row>
    <row r="13" spans="1:13" ht="18" customHeight="1" x14ac:dyDescent="0.3">
      <c r="A13" s="6" t="s">
        <v>166</v>
      </c>
      <c r="B13" s="12" t="s">
        <v>167</v>
      </c>
      <c r="C13" s="12" t="s">
        <v>168</v>
      </c>
      <c r="D13" s="3" t="s">
        <v>599</v>
      </c>
      <c r="E13" s="10" t="s">
        <v>600</v>
      </c>
      <c r="F13" s="7" t="s">
        <v>123</v>
      </c>
      <c r="G13" s="7" t="s">
        <v>124</v>
      </c>
      <c r="H13" s="3" t="s">
        <v>599</v>
      </c>
      <c r="I13" s="12" t="s">
        <v>169</v>
      </c>
      <c r="J13" s="13">
        <v>29265</v>
      </c>
      <c r="K13" s="7" t="s">
        <v>126</v>
      </c>
      <c r="L13" s="7">
        <v>9</v>
      </c>
      <c r="M13" s="8">
        <v>120000</v>
      </c>
    </row>
    <row r="14" spans="1:13" ht="18" customHeight="1" x14ac:dyDescent="0.3">
      <c r="A14" s="2" t="s">
        <v>170</v>
      </c>
      <c r="B14" s="10" t="s">
        <v>171</v>
      </c>
      <c r="C14" s="10" t="s">
        <v>172</v>
      </c>
      <c r="D14" s="3" t="s">
        <v>599</v>
      </c>
      <c r="E14" s="10" t="s">
        <v>600</v>
      </c>
      <c r="F14" s="3" t="s">
        <v>173</v>
      </c>
      <c r="G14" s="3" t="s">
        <v>136</v>
      </c>
      <c r="H14" s="3" t="s">
        <v>599</v>
      </c>
      <c r="I14" s="10" t="s">
        <v>174</v>
      </c>
      <c r="J14" s="11">
        <v>26439</v>
      </c>
      <c r="K14" s="3" t="s">
        <v>132</v>
      </c>
      <c r="L14" s="3">
        <v>2</v>
      </c>
      <c r="M14" s="4">
        <v>48000</v>
      </c>
    </row>
    <row r="15" spans="1:13" ht="18" customHeight="1" x14ac:dyDescent="0.3">
      <c r="A15" s="6" t="s">
        <v>175</v>
      </c>
      <c r="B15" s="12" t="s">
        <v>176</v>
      </c>
      <c r="C15" s="12" t="s">
        <v>177</v>
      </c>
      <c r="D15" s="3" t="s">
        <v>599</v>
      </c>
      <c r="E15" s="10" t="s">
        <v>600</v>
      </c>
      <c r="F15" s="7" t="s">
        <v>123</v>
      </c>
      <c r="G15" s="7" t="s">
        <v>141</v>
      </c>
      <c r="H15" s="3" t="s">
        <v>599</v>
      </c>
      <c r="I15" s="12" t="s">
        <v>178</v>
      </c>
      <c r="J15" s="13">
        <v>35734</v>
      </c>
      <c r="K15" s="7" t="s">
        <v>132</v>
      </c>
      <c r="L15" s="7">
        <v>1</v>
      </c>
      <c r="M15" s="8">
        <v>12500</v>
      </c>
    </row>
    <row r="16" spans="1:13" ht="18" customHeight="1" x14ac:dyDescent="0.3">
      <c r="A16" s="2" t="s">
        <v>179</v>
      </c>
      <c r="B16" s="10" t="s">
        <v>180</v>
      </c>
      <c r="C16" s="10" t="s">
        <v>181</v>
      </c>
      <c r="D16" s="3" t="s">
        <v>599</v>
      </c>
      <c r="E16" s="10" t="s">
        <v>600</v>
      </c>
      <c r="F16" s="3" t="s">
        <v>123</v>
      </c>
      <c r="G16" s="3" t="s">
        <v>130</v>
      </c>
      <c r="H16" s="3" t="s">
        <v>599</v>
      </c>
      <c r="I16" s="10" t="s">
        <v>182</v>
      </c>
      <c r="J16" s="11">
        <v>25388</v>
      </c>
      <c r="K16" s="3" t="s">
        <v>126</v>
      </c>
      <c r="L16" s="3">
        <v>15</v>
      </c>
      <c r="M16" s="4">
        <v>210000</v>
      </c>
    </row>
    <row r="17" spans="1:13" ht="18" customHeight="1" x14ac:dyDescent="0.3">
      <c r="A17" s="6" t="s">
        <v>183</v>
      </c>
      <c r="B17" s="12" t="s">
        <v>184</v>
      </c>
      <c r="C17" s="12" t="s">
        <v>185</v>
      </c>
      <c r="D17" s="3" t="s">
        <v>599</v>
      </c>
      <c r="E17" s="10" t="s">
        <v>600</v>
      </c>
      <c r="F17" s="7" t="s">
        <v>150</v>
      </c>
      <c r="G17" s="7" t="s">
        <v>136</v>
      </c>
      <c r="H17" s="3" t="s">
        <v>599</v>
      </c>
      <c r="I17" s="12" t="s">
        <v>186</v>
      </c>
      <c r="J17" s="13">
        <v>34685</v>
      </c>
      <c r="K17" s="7" t="s">
        <v>132</v>
      </c>
      <c r="L17" s="7">
        <v>2</v>
      </c>
      <c r="M17" s="8">
        <v>35000</v>
      </c>
    </row>
    <row r="18" spans="1:13" ht="18" customHeight="1" x14ac:dyDescent="0.3">
      <c r="A18" s="2" t="s">
        <v>187</v>
      </c>
      <c r="B18" s="10" t="s">
        <v>188</v>
      </c>
      <c r="C18" s="10" t="s">
        <v>189</v>
      </c>
      <c r="D18" s="3" t="s">
        <v>599</v>
      </c>
      <c r="E18" s="10" t="s">
        <v>600</v>
      </c>
      <c r="F18" s="3" t="s">
        <v>123</v>
      </c>
      <c r="G18" s="3" t="s">
        <v>124</v>
      </c>
      <c r="H18" s="3" t="s">
        <v>599</v>
      </c>
      <c r="I18" s="10" t="s">
        <v>190</v>
      </c>
      <c r="J18" s="11">
        <v>31479</v>
      </c>
      <c r="K18" s="3" t="s">
        <v>132</v>
      </c>
      <c r="L18" s="3">
        <v>4</v>
      </c>
      <c r="M18" s="4">
        <v>32000</v>
      </c>
    </row>
    <row r="19" spans="1:13" ht="18" customHeight="1" x14ac:dyDescent="0.3">
      <c r="A19" s="6" t="s">
        <v>191</v>
      </c>
      <c r="B19" s="12" t="s">
        <v>192</v>
      </c>
      <c r="C19" s="12" t="s">
        <v>193</v>
      </c>
      <c r="D19" s="3" t="s">
        <v>599</v>
      </c>
      <c r="E19" s="10" t="s">
        <v>600</v>
      </c>
      <c r="F19" s="7" t="s">
        <v>194</v>
      </c>
      <c r="G19" s="7" t="s">
        <v>136</v>
      </c>
      <c r="H19" s="3" t="s">
        <v>599</v>
      </c>
      <c r="I19" s="12" t="s">
        <v>195</v>
      </c>
      <c r="J19" s="13">
        <v>30584</v>
      </c>
      <c r="K19" s="7" t="s">
        <v>132</v>
      </c>
      <c r="L19" s="7">
        <v>1</v>
      </c>
      <c r="M19" s="8">
        <v>28000</v>
      </c>
    </row>
    <row r="20" spans="1:13" ht="18" customHeight="1" x14ac:dyDescent="0.3">
      <c r="A20" s="2" t="s">
        <v>196</v>
      </c>
      <c r="B20" s="10" t="s">
        <v>197</v>
      </c>
      <c r="C20" s="10" t="s">
        <v>198</v>
      </c>
      <c r="D20" s="3" t="s">
        <v>599</v>
      </c>
      <c r="E20" s="10" t="s">
        <v>600</v>
      </c>
      <c r="F20" s="3" t="s">
        <v>123</v>
      </c>
      <c r="G20" s="3" t="s">
        <v>136</v>
      </c>
      <c r="H20" s="3" t="s">
        <v>599</v>
      </c>
      <c r="I20" s="10" t="s">
        <v>199</v>
      </c>
      <c r="J20" s="11">
        <v>33404</v>
      </c>
      <c r="K20" s="3" t="s">
        <v>126</v>
      </c>
      <c r="L20" s="3">
        <v>7</v>
      </c>
      <c r="M20" s="4">
        <v>98000</v>
      </c>
    </row>
    <row r="21" spans="1:13" ht="18" customHeight="1" x14ac:dyDescent="0.3">
      <c r="A21" s="6" t="s">
        <v>200</v>
      </c>
      <c r="B21" s="12" t="s">
        <v>201</v>
      </c>
      <c r="C21" s="12" t="s">
        <v>202</v>
      </c>
      <c r="D21" s="3" t="s">
        <v>599</v>
      </c>
      <c r="E21" s="10" t="s">
        <v>600</v>
      </c>
      <c r="F21" s="7" t="s">
        <v>203</v>
      </c>
      <c r="G21" s="7" t="s">
        <v>136</v>
      </c>
      <c r="H21" s="3" t="s">
        <v>599</v>
      </c>
      <c r="I21" s="12" t="s">
        <v>204</v>
      </c>
      <c r="J21" s="13">
        <v>32109</v>
      </c>
      <c r="K21" s="7" t="s">
        <v>132</v>
      </c>
      <c r="L21" s="7">
        <v>1</v>
      </c>
      <c r="M21" s="8">
        <v>19500</v>
      </c>
    </row>
    <row r="22" spans="1:13" ht="18" customHeight="1" x14ac:dyDescent="0.3">
      <c r="A22" s="2" t="s">
        <v>205</v>
      </c>
      <c r="B22" s="10" t="s">
        <v>206</v>
      </c>
      <c r="C22" s="10" t="s">
        <v>207</v>
      </c>
      <c r="D22" s="3" t="s">
        <v>599</v>
      </c>
      <c r="E22" s="10" t="s">
        <v>600</v>
      </c>
      <c r="F22" s="3" t="s">
        <v>123</v>
      </c>
      <c r="G22" s="3" t="s">
        <v>141</v>
      </c>
      <c r="H22" s="3" t="s">
        <v>599</v>
      </c>
      <c r="I22" s="10" t="s">
        <v>208</v>
      </c>
      <c r="J22" s="11">
        <v>28947</v>
      </c>
      <c r="K22" s="3" t="s">
        <v>132</v>
      </c>
      <c r="L22" s="3">
        <v>6</v>
      </c>
      <c r="M22" s="4">
        <v>54000</v>
      </c>
    </row>
    <row r="23" spans="1:13" ht="18" customHeight="1" x14ac:dyDescent="0.3">
      <c r="A23" s="6" t="s">
        <v>209</v>
      </c>
      <c r="B23" s="12" t="s">
        <v>210</v>
      </c>
      <c r="C23" s="12" t="s">
        <v>211</v>
      </c>
      <c r="D23" s="3" t="s">
        <v>599</v>
      </c>
      <c r="E23" s="10" t="s">
        <v>600</v>
      </c>
      <c r="F23" s="7" t="s">
        <v>123</v>
      </c>
      <c r="G23" s="7" t="s">
        <v>130</v>
      </c>
      <c r="H23" s="3" t="s">
        <v>599</v>
      </c>
      <c r="I23" s="12" t="s">
        <v>212</v>
      </c>
      <c r="J23" s="13">
        <v>35083</v>
      </c>
      <c r="K23" s="7" t="s">
        <v>132</v>
      </c>
      <c r="L23" s="7">
        <v>2</v>
      </c>
      <c r="M23" s="8">
        <v>17500</v>
      </c>
    </row>
    <row r="24" spans="1:13" ht="18" customHeight="1" x14ac:dyDescent="0.3">
      <c r="A24" s="2" t="s">
        <v>213</v>
      </c>
      <c r="B24" s="10" t="s">
        <v>214</v>
      </c>
      <c r="C24" s="10" t="s">
        <v>215</v>
      </c>
      <c r="D24" s="3" t="s">
        <v>599</v>
      </c>
      <c r="E24" s="10" t="s">
        <v>600</v>
      </c>
      <c r="F24" s="3" t="s">
        <v>123</v>
      </c>
      <c r="G24" s="3" t="s">
        <v>124</v>
      </c>
      <c r="H24" s="3" t="s">
        <v>599</v>
      </c>
      <c r="I24" s="10" t="s">
        <v>216</v>
      </c>
      <c r="J24" s="11">
        <v>34553</v>
      </c>
      <c r="K24" s="3" t="s">
        <v>132</v>
      </c>
      <c r="L24" s="3">
        <v>3</v>
      </c>
      <c r="M24" s="4">
        <v>26000</v>
      </c>
    </row>
    <row r="25" spans="1:13" ht="18" customHeight="1" x14ac:dyDescent="0.3">
      <c r="A25" s="6" t="s">
        <v>217</v>
      </c>
      <c r="B25" s="12" t="s">
        <v>218</v>
      </c>
      <c r="C25" s="12" t="s">
        <v>219</v>
      </c>
      <c r="D25" s="3" t="s">
        <v>599</v>
      </c>
      <c r="E25" s="10" t="s">
        <v>600</v>
      </c>
      <c r="F25" s="7" t="s">
        <v>123</v>
      </c>
      <c r="G25" s="7" t="s">
        <v>136</v>
      </c>
      <c r="H25" s="3" t="s">
        <v>599</v>
      </c>
      <c r="I25" s="12" t="s">
        <v>220</v>
      </c>
      <c r="J25" s="13">
        <v>32195</v>
      </c>
      <c r="K25" s="7" t="s">
        <v>126</v>
      </c>
      <c r="L25" s="7">
        <v>10</v>
      </c>
      <c r="M25" s="8">
        <v>145000</v>
      </c>
    </row>
    <row r="26" spans="1:13" ht="18" customHeight="1" x14ac:dyDescent="0.3">
      <c r="A26" s="2" t="s">
        <v>221</v>
      </c>
      <c r="B26" s="10" t="s">
        <v>222</v>
      </c>
      <c r="C26" s="10" t="s">
        <v>223</v>
      </c>
      <c r="D26" s="3" t="s">
        <v>599</v>
      </c>
      <c r="E26" s="10" t="s">
        <v>600</v>
      </c>
      <c r="F26" s="3" t="s">
        <v>224</v>
      </c>
      <c r="G26" s="3" t="s">
        <v>136</v>
      </c>
      <c r="H26" s="3" t="s">
        <v>599</v>
      </c>
      <c r="I26" s="10" t="s">
        <v>225</v>
      </c>
      <c r="J26" s="11">
        <v>29383</v>
      </c>
      <c r="K26" s="3" t="s">
        <v>132</v>
      </c>
      <c r="L26" s="3">
        <v>1</v>
      </c>
      <c r="M26" s="4">
        <v>32000</v>
      </c>
    </row>
    <row r="27" spans="1:13" ht="18" customHeight="1" x14ac:dyDescent="0.3">
      <c r="A27" s="6" t="s">
        <v>226</v>
      </c>
      <c r="B27" s="12" t="s">
        <v>227</v>
      </c>
      <c r="C27" s="12" t="s">
        <v>228</v>
      </c>
      <c r="D27" s="3" t="s">
        <v>599</v>
      </c>
      <c r="E27" s="10" t="s">
        <v>600</v>
      </c>
      <c r="F27" s="7" t="s">
        <v>123</v>
      </c>
      <c r="G27" s="7" t="s">
        <v>141</v>
      </c>
      <c r="H27" s="3" t="s">
        <v>599</v>
      </c>
      <c r="I27" s="12" t="s">
        <v>229</v>
      </c>
      <c r="J27" s="13">
        <v>31323</v>
      </c>
      <c r="K27" s="7" t="s">
        <v>132</v>
      </c>
      <c r="L27" s="7">
        <v>5</v>
      </c>
      <c r="M27" s="8">
        <v>43000</v>
      </c>
    </row>
    <row r="28" spans="1:13" ht="18" customHeight="1" x14ac:dyDescent="0.3">
      <c r="A28" s="2" t="s">
        <v>230</v>
      </c>
      <c r="B28" s="10" t="s">
        <v>231</v>
      </c>
      <c r="C28" s="10" t="s">
        <v>232</v>
      </c>
      <c r="D28" s="3" t="s">
        <v>599</v>
      </c>
      <c r="E28" s="10" t="s">
        <v>600</v>
      </c>
      <c r="F28" s="3" t="s">
        <v>123</v>
      </c>
      <c r="G28" s="3" t="s">
        <v>130</v>
      </c>
      <c r="H28" s="3" t="s">
        <v>599</v>
      </c>
      <c r="I28" s="10" t="s">
        <v>233</v>
      </c>
      <c r="J28" s="11">
        <v>28484</v>
      </c>
      <c r="K28" s="3" t="s">
        <v>161</v>
      </c>
      <c r="L28" s="3">
        <v>18</v>
      </c>
      <c r="M28" s="4">
        <v>290000</v>
      </c>
    </row>
    <row r="29" spans="1:13" ht="18" customHeight="1" x14ac:dyDescent="0.3">
      <c r="A29" s="6" t="s">
        <v>234</v>
      </c>
      <c r="B29" s="12" t="s">
        <v>235</v>
      </c>
      <c r="C29" s="12" t="s">
        <v>236</v>
      </c>
      <c r="D29" s="3" t="s">
        <v>599</v>
      </c>
      <c r="E29" s="10" t="s">
        <v>600</v>
      </c>
      <c r="F29" s="7" t="s">
        <v>237</v>
      </c>
      <c r="G29" s="7" t="s">
        <v>136</v>
      </c>
      <c r="H29" s="3" t="s">
        <v>599</v>
      </c>
      <c r="I29" s="12" t="s">
        <v>238</v>
      </c>
      <c r="J29" s="13">
        <v>30087</v>
      </c>
      <c r="K29" s="7" t="s">
        <v>132</v>
      </c>
      <c r="L29" s="7">
        <v>1</v>
      </c>
      <c r="M29" s="8">
        <v>24000</v>
      </c>
    </row>
    <row r="30" spans="1:13" ht="18" customHeight="1" x14ac:dyDescent="0.3">
      <c r="A30" s="2" t="s">
        <v>239</v>
      </c>
      <c r="B30" s="10" t="s">
        <v>240</v>
      </c>
      <c r="C30" s="10" t="s">
        <v>241</v>
      </c>
      <c r="D30" s="3" t="s">
        <v>599</v>
      </c>
      <c r="E30" s="10" t="s">
        <v>600</v>
      </c>
      <c r="F30" s="3" t="s">
        <v>123</v>
      </c>
      <c r="G30" s="3" t="s">
        <v>124</v>
      </c>
      <c r="H30" s="3" t="s">
        <v>599</v>
      </c>
      <c r="I30" s="10" t="s">
        <v>242</v>
      </c>
      <c r="J30" s="11">
        <v>34242</v>
      </c>
      <c r="K30" s="3" t="s">
        <v>132</v>
      </c>
      <c r="L30" s="3">
        <v>4</v>
      </c>
      <c r="M30" s="4">
        <v>36000</v>
      </c>
    </row>
    <row r="31" spans="1:13" ht="18" customHeight="1" x14ac:dyDescent="0.3">
      <c r="A31" s="6" t="s">
        <v>243</v>
      </c>
      <c r="B31" s="12" t="s">
        <v>244</v>
      </c>
      <c r="C31" s="12" t="s">
        <v>245</v>
      </c>
      <c r="D31" s="3" t="s">
        <v>599</v>
      </c>
      <c r="E31" s="10" t="s">
        <v>600</v>
      </c>
      <c r="F31" s="7" t="s">
        <v>123</v>
      </c>
      <c r="G31" s="7" t="s">
        <v>136</v>
      </c>
      <c r="H31" s="3" t="s">
        <v>599</v>
      </c>
      <c r="I31" s="12" t="s">
        <v>246</v>
      </c>
      <c r="J31" s="13">
        <v>27467</v>
      </c>
      <c r="K31" s="7" t="s">
        <v>126</v>
      </c>
      <c r="L31" s="7">
        <v>11</v>
      </c>
      <c r="M31" s="8">
        <v>175000</v>
      </c>
    </row>
    <row r="32" spans="1:13" ht="18" customHeight="1" x14ac:dyDescent="0.3">
      <c r="A32" s="2" t="s">
        <v>247</v>
      </c>
      <c r="B32" s="10" t="s">
        <v>248</v>
      </c>
      <c r="C32" s="10" t="s">
        <v>249</v>
      </c>
      <c r="D32" s="3" t="s">
        <v>599</v>
      </c>
      <c r="E32" s="10" t="s">
        <v>600</v>
      </c>
      <c r="F32" s="3" t="s">
        <v>150</v>
      </c>
      <c r="G32" s="3" t="s">
        <v>136</v>
      </c>
      <c r="H32" s="3" t="s">
        <v>599</v>
      </c>
      <c r="I32" s="10" t="s">
        <v>250</v>
      </c>
      <c r="J32" s="11">
        <v>33062</v>
      </c>
      <c r="K32" s="3" t="s">
        <v>132</v>
      </c>
      <c r="L32" s="3">
        <v>2</v>
      </c>
      <c r="M32" s="4">
        <v>41000</v>
      </c>
    </row>
    <row r="33" spans="1:13" ht="18" customHeight="1" x14ac:dyDescent="0.3">
      <c r="A33" s="6" t="s">
        <v>251</v>
      </c>
      <c r="B33" s="12" t="s">
        <v>252</v>
      </c>
      <c r="C33" s="12" t="s">
        <v>253</v>
      </c>
      <c r="D33" s="3" t="s">
        <v>599</v>
      </c>
      <c r="E33" s="10" t="s">
        <v>600</v>
      </c>
      <c r="F33" s="7" t="s">
        <v>123</v>
      </c>
      <c r="G33" s="7" t="s">
        <v>141</v>
      </c>
      <c r="H33" s="3" t="s">
        <v>599</v>
      </c>
      <c r="I33" s="12" t="s">
        <v>254</v>
      </c>
      <c r="J33" s="13">
        <v>31006</v>
      </c>
      <c r="K33" s="7" t="s">
        <v>132</v>
      </c>
      <c r="L33" s="7">
        <v>3</v>
      </c>
      <c r="M33" s="8">
        <v>27500</v>
      </c>
    </row>
    <row r="34" spans="1:13" ht="18" customHeight="1" x14ac:dyDescent="0.3">
      <c r="A34" s="2" t="s">
        <v>255</v>
      </c>
      <c r="B34" s="10" t="s">
        <v>256</v>
      </c>
      <c r="C34" s="10" t="s">
        <v>257</v>
      </c>
      <c r="D34" s="3" t="s">
        <v>599</v>
      </c>
      <c r="E34" s="10" t="s">
        <v>600</v>
      </c>
      <c r="F34" s="3" t="s">
        <v>123</v>
      </c>
      <c r="G34" s="3" t="s">
        <v>130</v>
      </c>
      <c r="H34" s="3" t="s">
        <v>599</v>
      </c>
      <c r="I34" s="10" t="s">
        <v>258</v>
      </c>
      <c r="J34" s="11">
        <v>26154</v>
      </c>
      <c r="K34" s="3" t="s">
        <v>126</v>
      </c>
      <c r="L34" s="3">
        <v>6</v>
      </c>
      <c r="M34" s="4">
        <v>88000</v>
      </c>
    </row>
    <row r="35" spans="1:13" ht="18" customHeight="1" x14ac:dyDescent="0.3">
      <c r="A35" s="6" t="s">
        <v>259</v>
      </c>
      <c r="B35" s="12" t="s">
        <v>260</v>
      </c>
      <c r="C35" s="12" t="s">
        <v>261</v>
      </c>
      <c r="D35" s="3" t="s">
        <v>599</v>
      </c>
      <c r="E35" s="10" t="s">
        <v>600</v>
      </c>
      <c r="F35" s="7" t="s">
        <v>123</v>
      </c>
      <c r="G35" s="7" t="s">
        <v>124</v>
      </c>
      <c r="H35" s="3" t="s">
        <v>599</v>
      </c>
      <c r="I35" s="12" t="s">
        <v>262</v>
      </c>
      <c r="J35" s="13">
        <v>35890</v>
      </c>
      <c r="K35" s="7" t="s">
        <v>132</v>
      </c>
      <c r="L35" s="7">
        <v>2</v>
      </c>
      <c r="M35" s="8">
        <v>16000</v>
      </c>
    </row>
    <row r="36" spans="1:13" ht="18" customHeight="1" x14ac:dyDescent="0.3">
      <c r="A36" s="2" t="s">
        <v>263</v>
      </c>
      <c r="B36" s="10" t="s">
        <v>264</v>
      </c>
      <c r="C36" s="10" t="s">
        <v>265</v>
      </c>
      <c r="D36" s="3" t="s">
        <v>599</v>
      </c>
      <c r="E36" s="10" t="s">
        <v>600</v>
      </c>
      <c r="F36" s="3" t="s">
        <v>194</v>
      </c>
      <c r="G36" s="3" t="s">
        <v>136</v>
      </c>
      <c r="H36" s="3" t="s">
        <v>599</v>
      </c>
      <c r="I36" s="10" t="s">
        <v>266</v>
      </c>
      <c r="J36" s="11">
        <v>24106</v>
      </c>
      <c r="K36" s="3" t="s">
        <v>132</v>
      </c>
      <c r="L36" s="3">
        <v>1</v>
      </c>
      <c r="M36" s="4">
        <v>35000</v>
      </c>
    </row>
    <row r="37" spans="1:13" ht="18" customHeight="1" x14ac:dyDescent="0.3">
      <c r="A37" s="6" t="s">
        <v>267</v>
      </c>
      <c r="B37" s="12" t="s">
        <v>268</v>
      </c>
      <c r="C37" s="12" t="s">
        <v>269</v>
      </c>
      <c r="D37" s="3" t="s">
        <v>599</v>
      </c>
      <c r="E37" s="10" t="s">
        <v>600</v>
      </c>
      <c r="F37" s="7" t="s">
        <v>123</v>
      </c>
      <c r="G37" s="7" t="s">
        <v>136</v>
      </c>
      <c r="H37" s="3" t="s">
        <v>599</v>
      </c>
      <c r="I37" s="12" t="s">
        <v>270</v>
      </c>
      <c r="J37" s="13">
        <v>32684</v>
      </c>
      <c r="K37" s="7" t="s">
        <v>132</v>
      </c>
      <c r="L37" s="7">
        <v>4</v>
      </c>
      <c r="M37" s="8">
        <v>40000</v>
      </c>
    </row>
    <row r="38" spans="1:13" ht="18" customHeight="1" x14ac:dyDescent="0.3">
      <c r="A38" s="2" t="s">
        <v>271</v>
      </c>
      <c r="B38" s="10" t="s">
        <v>121</v>
      </c>
      <c r="C38" s="10" t="s">
        <v>272</v>
      </c>
      <c r="D38" s="3" t="s">
        <v>599</v>
      </c>
      <c r="E38" s="10" t="s">
        <v>600</v>
      </c>
      <c r="F38" s="3" t="s">
        <v>123</v>
      </c>
      <c r="G38" s="3" t="s">
        <v>141</v>
      </c>
      <c r="H38" s="3" t="s">
        <v>599</v>
      </c>
      <c r="I38" s="10" t="s">
        <v>273</v>
      </c>
      <c r="J38" s="11">
        <v>34747</v>
      </c>
      <c r="K38" s="3" t="s">
        <v>132</v>
      </c>
      <c r="L38" s="3">
        <v>1</v>
      </c>
      <c r="M38" s="4">
        <v>9500</v>
      </c>
    </row>
  </sheetData>
  <autoFilter ref="A3:M38"/>
  <mergeCells count="2">
    <mergeCell ref="A1:M1"/>
    <mergeCell ref="A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B7791F"/>
  </sheetPr>
  <dimension ref="A1:R83"/>
  <sheetViews>
    <sheetView showGridLines="0" zoomScaleNormal="100" workbookViewId="0">
      <pane ySplit="3" topLeftCell="A4" activePane="bottomLeft" state="frozen"/>
      <selection pane="bottomLeft" sqref="A1:R1"/>
    </sheetView>
  </sheetViews>
  <sheetFormatPr defaultColWidth="8.6640625" defaultRowHeight="14.4" x14ac:dyDescent="0.3"/>
  <cols>
    <col min="1" max="1" width="13" customWidth="1"/>
    <col min="2" max="2" width="10" customWidth="1"/>
    <col min="3" max="3" width="24" customWidth="1"/>
    <col min="4" max="4" width="10" customWidth="1"/>
    <col min="5" max="5" width="18" customWidth="1"/>
    <col min="6" max="7" width="12" customWidth="1"/>
    <col min="8" max="8" width="8" customWidth="1"/>
    <col min="9" max="9" width="7" customWidth="1"/>
    <col min="10" max="11" width="14" customWidth="1"/>
    <col min="12" max="13" width="12" customWidth="1"/>
    <col min="14" max="14" width="15" customWidth="1"/>
    <col min="15" max="16" width="12" customWidth="1"/>
    <col min="17" max="17" width="17" customWidth="1"/>
    <col min="18" max="18" width="15" customWidth="1"/>
  </cols>
  <sheetData>
    <row r="1" spans="1:18" ht="42" customHeight="1" x14ac:dyDescent="0.3">
      <c r="A1" s="26" t="s">
        <v>274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9.5" customHeight="1" x14ac:dyDescent="0.3">
      <c r="A2" s="27" t="s">
        <v>275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27.75" customHeight="1" x14ac:dyDescent="0.3">
      <c r="A3" s="1" t="s">
        <v>276</v>
      </c>
      <c r="B3" s="1" t="s">
        <v>107</v>
      </c>
      <c r="C3" s="1" t="s">
        <v>277</v>
      </c>
      <c r="D3" s="1" t="s">
        <v>2</v>
      </c>
      <c r="E3" s="1" t="s">
        <v>4</v>
      </c>
      <c r="F3" s="1" t="s">
        <v>278</v>
      </c>
      <c r="G3" s="1" t="s">
        <v>279</v>
      </c>
      <c r="H3" s="1" t="s">
        <v>280</v>
      </c>
      <c r="I3" s="1" t="s">
        <v>281</v>
      </c>
      <c r="J3" s="1" t="s">
        <v>282</v>
      </c>
      <c r="K3" s="1" t="s">
        <v>283</v>
      </c>
      <c r="L3" s="1" t="s">
        <v>284</v>
      </c>
      <c r="M3" s="1" t="s">
        <v>285</v>
      </c>
      <c r="N3" s="1" t="s">
        <v>286</v>
      </c>
      <c r="O3" s="1" t="s">
        <v>287</v>
      </c>
      <c r="P3" s="1" t="s">
        <v>288</v>
      </c>
      <c r="Q3" s="1" t="s">
        <v>289</v>
      </c>
      <c r="R3" s="1" t="s">
        <v>14</v>
      </c>
    </row>
    <row r="4" spans="1:18" ht="18" customHeight="1" x14ac:dyDescent="0.3">
      <c r="A4" s="2" t="s">
        <v>290</v>
      </c>
      <c r="B4" s="3" t="s">
        <v>120</v>
      </c>
      <c r="C4" s="10" t="s">
        <v>291</v>
      </c>
      <c r="D4" s="3" t="s">
        <v>53</v>
      </c>
      <c r="E4" s="10" t="s">
        <v>54</v>
      </c>
      <c r="F4" s="11">
        <v>45660</v>
      </c>
      <c r="G4" s="11">
        <v>45663</v>
      </c>
      <c r="H4" s="3">
        <v>3</v>
      </c>
      <c r="I4" s="3">
        <v>2</v>
      </c>
      <c r="J4" s="4">
        <v>6500</v>
      </c>
      <c r="K4" s="4">
        <f t="shared" ref="K4:K35" si="0">J4*H4</f>
        <v>19500</v>
      </c>
      <c r="L4" s="4">
        <v>4300</v>
      </c>
      <c r="M4" s="4">
        <v>500</v>
      </c>
      <c r="N4" s="4">
        <f t="shared" ref="N4:N35" si="1">K4+L4-M4</f>
        <v>23300</v>
      </c>
      <c r="O4" s="4">
        <v>23300</v>
      </c>
      <c r="P4" s="4">
        <f t="shared" ref="P4:P35" si="2">N4-O4</f>
        <v>0</v>
      </c>
      <c r="Q4" s="3" t="s">
        <v>292</v>
      </c>
      <c r="R4" s="3" t="s">
        <v>293</v>
      </c>
    </row>
    <row r="5" spans="1:18" ht="18" customHeight="1" x14ac:dyDescent="0.3">
      <c r="A5" s="6" t="s">
        <v>294</v>
      </c>
      <c r="B5" s="7" t="s">
        <v>157</v>
      </c>
      <c r="C5" s="12" t="s">
        <v>295</v>
      </c>
      <c r="D5" s="7" t="s">
        <v>75</v>
      </c>
      <c r="E5" s="12" t="s">
        <v>76</v>
      </c>
      <c r="F5" s="13">
        <v>45667</v>
      </c>
      <c r="G5" s="13">
        <v>45671</v>
      </c>
      <c r="H5" s="7">
        <v>4</v>
      </c>
      <c r="I5" s="7">
        <v>4</v>
      </c>
      <c r="J5" s="8">
        <v>18000</v>
      </c>
      <c r="K5" s="8">
        <f t="shared" si="0"/>
        <v>72000</v>
      </c>
      <c r="L5" s="8">
        <v>0</v>
      </c>
      <c r="M5" s="8">
        <v>3000</v>
      </c>
      <c r="N5" s="8">
        <f t="shared" si="1"/>
        <v>69000</v>
      </c>
      <c r="O5" s="8">
        <v>55200</v>
      </c>
      <c r="P5" s="8">
        <f t="shared" si="2"/>
        <v>13800</v>
      </c>
      <c r="Q5" s="7" t="s">
        <v>292</v>
      </c>
      <c r="R5" s="7" t="s">
        <v>293</v>
      </c>
    </row>
    <row r="6" spans="1:18" ht="18" customHeight="1" x14ac:dyDescent="0.3">
      <c r="A6" s="2" t="s">
        <v>296</v>
      </c>
      <c r="B6" s="3" t="s">
        <v>179</v>
      </c>
      <c r="C6" s="10" t="s">
        <v>297</v>
      </c>
      <c r="D6" s="3" t="s">
        <v>69</v>
      </c>
      <c r="E6" s="10" t="s">
        <v>70</v>
      </c>
      <c r="F6" s="11">
        <v>45672</v>
      </c>
      <c r="G6" s="11">
        <v>45675</v>
      </c>
      <c r="H6" s="3">
        <v>3</v>
      </c>
      <c r="I6" s="3">
        <v>2</v>
      </c>
      <c r="J6" s="4">
        <v>10500</v>
      </c>
      <c r="K6" s="4">
        <f t="shared" si="0"/>
        <v>31500</v>
      </c>
      <c r="L6" s="4">
        <v>1800</v>
      </c>
      <c r="M6" s="4">
        <v>0</v>
      </c>
      <c r="N6" s="4">
        <f t="shared" si="1"/>
        <v>33300</v>
      </c>
      <c r="O6" s="4">
        <v>33300</v>
      </c>
      <c r="P6" s="4">
        <f t="shared" si="2"/>
        <v>0</v>
      </c>
      <c r="Q6" s="3" t="s">
        <v>292</v>
      </c>
      <c r="R6" s="3" t="s">
        <v>293</v>
      </c>
    </row>
    <row r="7" spans="1:18" ht="18" customHeight="1" x14ac:dyDescent="0.3">
      <c r="A7" s="6" t="s">
        <v>298</v>
      </c>
      <c r="B7" s="7" t="s">
        <v>127</v>
      </c>
      <c r="C7" s="12" t="s">
        <v>299</v>
      </c>
      <c r="D7" s="7" t="s">
        <v>31</v>
      </c>
      <c r="E7" s="12" t="s">
        <v>18</v>
      </c>
      <c r="F7" s="13">
        <v>45677</v>
      </c>
      <c r="G7" s="13">
        <v>45679</v>
      </c>
      <c r="H7" s="7">
        <v>2</v>
      </c>
      <c r="I7" s="7">
        <v>2</v>
      </c>
      <c r="J7" s="8">
        <v>2800</v>
      </c>
      <c r="K7" s="8">
        <f t="shared" si="0"/>
        <v>5600</v>
      </c>
      <c r="L7" s="8">
        <v>0</v>
      </c>
      <c r="M7" s="8">
        <v>0</v>
      </c>
      <c r="N7" s="8">
        <f t="shared" si="1"/>
        <v>5600</v>
      </c>
      <c r="O7" s="8">
        <v>5600</v>
      </c>
      <c r="P7" s="8">
        <f t="shared" si="2"/>
        <v>0</v>
      </c>
      <c r="Q7" s="7" t="s">
        <v>300</v>
      </c>
      <c r="R7" s="7" t="s">
        <v>293</v>
      </c>
    </row>
    <row r="8" spans="1:18" ht="18" customHeight="1" x14ac:dyDescent="0.3">
      <c r="A8" s="2" t="s">
        <v>301</v>
      </c>
      <c r="B8" s="3" t="s">
        <v>170</v>
      </c>
      <c r="C8" s="10" t="s">
        <v>302</v>
      </c>
      <c r="D8" s="3" t="s">
        <v>48</v>
      </c>
      <c r="E8" s="10" t="s">
        <v>34</v>
      </c>
      <c r="F8" s="11">
        <v>45682</v>
      </c>
      <c r="G8" s="11">
        <v>45686</v>
      </c>
      <c r="H8" s="3">
        <v>4</v>
      </c>
      <c r="I8" s="3">
        <v>2</v>
      </c>
      <c r="J8" s="4">
        <v>4000</v>
      </c>
      <c r="K8" s="4">
        <f t="shared" si="0"/>
        <v>16000</v>
      </c>
      <c r="L8" s="4">
        <v>3000</v>
      </c>
      <c r="M8" s="4">
        <v>500</v>
      </c>
      <c r="N8" s="4">
        <f t="shared" si="1"/>
        <v>18500</v>
      </c>
      <c r="O8" s="4">
        <v>0</v>
      </c>
      <c r="P8" s="4">
        <f t="shared" si="2"/>
        <v>18500</v>
      </c>
      <c r="Q8" s="3" t="s">
        <v>300</v>
      </c>
      <c r="R8" s="3" t="s">
        <v>293</v>
      </c>
    </row>
    <row r="9" spans="1:18" ht="18" customHeight="1" x14ac:dyDescent="0.3">
      <c r="A9" s="6" t="s">
        <v>303</v>
      </c>
      <c r="B9" s="7" t="s">
        <v>217</v>
      </c>
      <c r="C9" s="12" t="s">
        <v>304</v>
      </c>
      <c r="D9" s="7" t="s">
        <v>56</v>
      </c>
      <c r="E9" s="12" t="s">
        <v>54</v>
      </c>
      <c r="F9" s="13">
        <v>45695</v>
      </c>
      <c r="G9" s="13">
        <v>45698</v>
      </c>
      <c r="H9" s="7">
        <v>3</v>
      </c>
      <c r="I9" s="7">
        <v>2</v>
      </c>
      <c r="J9" s="8">
        <v>7500</v>
      </c>
      <c r="K9" s="8">
        <f t="shared" si="0"/>
        <v>22500</v>
      </c>
      <c r="L9" s="8">
        <v>5000</v>
      </c>
      <c r="M9" s="8">
        <v>1000</v>
      </c>
      <c r="N9" s="8">
        <f t="shared" si="1"/>
        <v>26500</v>
      </c>
      <c r="O9" s="8">
        <v>26500</v>
      </c>
      <c r="P9" s="8">
        <f t="shared" si="2"/>
        <v>0</v>
      </c>
      <c r="Q9" s="7" t="s">
        <v>305</v>
      </c>
      <c r="R9" s="7" t="s">
        <v>293</v>
      </c>
    </row>
    <row r="10" spans="1:18" ht="18" customHeight="1" x14ac:dyDescent="0.3">
      <c r="A10" s="2" t="s">
        <v>306</v>
      </c>
      <c r="B10" s="3" t="s">
        <v>230</v>
      </c>
      <c r="C10" s="10" t="s">
        <v>307</v>
      </c>
      <c r="D10" s="3" t="s">
        <v>75</v>
      </c>
      <c r="E10" s="10" t="s">
        <v>76</v>
      </c>
      <c r="F10" s="11">
        <v>45702</v>
      </c>
      <c r="G10" s="11">
        <v>45705</v>
      </c>
      <c r="H10" s="3">
        <v>3</v>
      </c>
      <c r="I10" s="3">
        <v>2</v>
      </c>
      <c r="J10" s="4">
        <v>22000</v>
      </c>
      <c r="K10" s="4">
        <f t="shared" si="0"/>
        <v>66000</v>
      </c>
      <c r="L10" s="4">
        <v>10000</v>
      </c>
      <c r="M10" s="4">
        <v>2000</v>
      </c>
      <c r="N10" s="4">
        <f t="shared" si="1"/>
        <v>74000</v>
      </c>
      <c r="O10" s="4">
        <v>59200</v>
      </c>
      <c r="P10" s="4">
        <f t="shared" si="2"/>
        <v>14800</v>
      </c>
      <c r="Q10" s="3" t="s">
        <v>300</v>
      </c>
      <c r="R10" s="3" t="s">
        <v>293</v>
      </c>
    </row>
    <row r="11" spans="1:18" ht="18" customHeight="1" x14ac:dyDescent="0.3">
      <c r="A11" s="6" t="s">
        <v>308</v>
      </c>
      <c r="B11" s="7" t="s">
        <v>133</v>
      </c>
      <c r="C11" s="12" t="s">
        <v>309</v>
      </c>
      <c r="D11" s="7" t="s">
        <v>69</v>
      </c>
      <c r="E11" s="12" t="s">
        <v>70</v>
      </c>
      <c r="F11" s="13">
        <v>45702</v>
      </c>
      <c r="G11" s="13">
        <v>45704</v>
      </c>
      <c r="H11" s="7">
        <v>2</v>
      </c>
      <c r="I11" s="7">
        <v>2</v>
      </c>
      <c r="J11" s="8">
        <v>12000</v>
      </c>
      <c r="K11" s="8">
        <f t="shared" si="0"/>
        <v>24000</v>
      </c>
      <c r="L11" s="8">
        <v>5000</v>
      </c>
      <c r="M11" s="8">
        <v>2500</v>
      </c>
      <c r="N11" s="8">
        <f t="shared" si="1"/>
        <v>26500</v>
      </c>
      <c r="O11" s="8">
        <v>26500</v>
      </c>
      <c r="P11" s="8">
        <f t="shared" si="2"/>
        <v>0</v>
      </c>
      <c r="Q11" s="7" t="s">
        <v>310</v>
      </c>
      <c r="R11" s="7" t="s">
        <v>293</v>
      </c>
    </row>
    <row r="12" spans="1:18" ht="18" customHeight="1" x14ac:dyDescent="0.3">
      <c r="A12" s="2" t="s">
        <v>311</v>
      </c>
      <c r="B12" s="3" t="s">
        <v>166</v>
      </c>
      <c r="C12" s="10" t="s">
        <v>312</v>
      </c>
      <c r="D12" s="3" t="s">
        <v>53</v>
      </c>
      <c r="E12" s="10" t="s">
        <v>54</v>
      </c>
      <c r="F12" s="11">
        <v>45708</v>
      </c>
      <c r="G12" s="11">
        <v>45711</v>
      </c>
      <c r="H12" s="3">
        <v>3</v>
      </c>
      <c r="I12" s="3">
        <v>2</v>
      </c>
      <c r="J12" s="4">
        <v>7500</v>
      </c>
      <c r="K12" s="4">
        <f t="shared" si="0"/>
        <v>22500</v>
      </c>
      <c r="L12" s="4">
        <v>1800</v>
      </c>
      <c r="M12" s="4">
        <v>500</v>
      </c>
      <c r="N12" s="4">
        <f t="shared" si="1"/>
        <v>23800</v>
      </c>
      <c r="O12" s="4">
        <v>23800</v>
      </c>
      <c r="P12" s="4">
        <f t="shared" si="2"/>
        <v>0</v>
      </c>
      <c r="Q12" s="3" t="s">
        <v>292</v>
      </c>
      <c r="R12" s="3" t="s">
        <v>293</v>
      </c>
    </row>
    <row r="13" spans="1:18" ht="18" customHeight="1" x14ac:dyDescent="0.3">
      <c r="A13" s="6" t="s">
        <v>313</v>
      </c>
      <c r="B13" s="7" t="s">
        <v>147</v>
      </c>
      <c r="C13" s="12" t="s">
        <v>314</v>
      </c>
      <c r="D13" s="7" t="s">
        <v>62</v>
      </c>
      <c r="E13" s="12" t="s">
        <v>34</v>
      </c>
      <c r="F13" s="13">
        <v>45710</v>
      </c>
      <c r="G13" s="13">
        <v>45714</v>
      </c>
      <c r="H13" s="7">
        <v>4</v>
      </c>
      <c r="I13" s="7">
        <v>2</v>
      </c>
      <c r="J13" s="8">
        <v>5200</v>
      </c>
      <c r="K13" s="8">
        <f t="shared" si="0"/>
        <v>20800</v>
      </c>
      <c r="L13" s="8">
        <v>3000</v>
      </c>
      <c r="M13" s="8">
        <v>0</v>
      </c>
      <c r="N13" s="8">
        <f t="shared" si="1"/>
        <v>23800</v>
      </c>
      <c r="O13" s="8">
        <v>0</v>
      </c>
      <c r="P13" s="8">
        <f t="shared" si="2"/>
        <v>23800</v>
      </c>
      <c r="Q13" s="7" t="s">
        <v>300</v>
      </c>
      <c r="R13" s="7" t="s">
        <v>293</v>
      </c>
    </row>
    <row r="14" spans="1:18" ht="18" customHeight="1" x14ac:dyDescent="0.3">
      <c r="A14" s="2" t="s">
        <v>315</v>
      </c>
      <c r="B14" s="3" t="s">
        <v>183</v>
      </c>
      <c r="C14" s="10" t="s">
        <v>316</v>
      </c>
      <c r="D14" s="3" t="s">
        <v>80</v>
      </c>
      <c r="E14" s="10" t="s">
        <v>82</v>
      </c>
      <c r="F14" s="11">
        <v>45717</v>
      </c>
      <c r="G14" s="11">
        <v>45720</v>
      </c>
      <c r="H14" s="3">
        <v>3</v>
      </c>
      <c r="I14" s="3">
        <v>3</v>
      </c>
      <c r="J14" s="4">
        <v>5500</v>
      </c>
      <c r="K14" s="4">
        <f t="shared" si="0"/>
        <v>16500</v>
      </c>
      <c r="L14" s="4">
        <v>2500</v>
      </c>
      <c r="M14" s="4">
        <v>0</v>
      </c>
      <c r="N14" s="4">
        <f t="shared" si="1"/>
        <v>19000</v>
      </c>
      <c r="O14" s="4">
        <v>9500</v>
      </c>
      <c r="P14" s="4">
        <f t="shared" si="2"/>
        <v>9500</v>
      </c>
      <c r="Q14" s="3" t="s">
        <v>317</v>
      </c>
      <c r="R14" s="3" t="s">
        <v>293</v>
      </c>
    </row>
    <row r="15" spans="1:18" ht="18" customHeight="1" x14ac:dyDescent="0.3">
      <c r="A15" s="6" t="s">
        <v>318</v>
      </c>
      <c r="B15" s="7" t="s">
        <v>143</v>
      </c>
      <c r="C15" s="12" t="s">
        <v>319</v>
      </c>
      <c r="D15" s="7" t="s">
        <v>40</v>
      </c>
      <c r="E15" s="12" t="s">
        <v>41</v>
      </c>
      <c r="F15" s="13">
        <v>45723</v>
      </c>
      <c r="G15" s="13">
        <v>45726</v>
      </c>
      <c r="H15" s="7">
        <v>3</v>
      </c>
      <c r="I15" s="7">
        <v>4</v>
      </c>
      <c r="J15" s="8">
        <v>4500</v>
      </c>
      <c r="K15" s="8">
        <f t="shared" si="0"/>
        <v>13500</v>
      </c>
      <c r="L15" s="8">
        <v>5400</v>
      </c>
      <c r="M15" s="8">
        <v>800</v>
      </c>
      <c r="N15" s="8">
        <f t="shared" si="1"/>
        <v>18100</v>
      </c>
      <c r="O15" s="8">
        <v>18100</v>
      </c>
      <c r="P15" s="8">
        <f t="shared" si="2"/>
        <v>0</v>
      </c>
      <c r="Q15" s="7" t="s">
        <v>292</v>
      </c>
      <c r="R15" s="7" t="s">
        <v>293</v>
      </c>
    </row>
    <row r="16" spans="1:18" ht="18" customHeight="1" x14ac:dyDescent="0.3">
      <c r="A16" s="2" t="s">
        <v>320</v>
      </c>
      <c r="B16" s="3" t="s">
        <v>196</v>
      </c>
      <c r="C16" s="10" t="s">
        <v>321</v>
      </c>
      <c r="D16" s="3" t="s">
        <v>66</v>
      </c>
      <c r="E16" s="10" t="s">
        <v>54</v>
      </c>
      <c r="F16" s="11">
        <v>45731</v>
      </c>
      <c r="G16" s="11">
        <v>45734</v>
      </c>
      <c r="H16" s="3">
        <v>3</v>
      </c>
      <c r="I16" s="3">
        <v>2</v>
      </c>
      <c r="J16" s="4">
        <v>7200</v>
      </c>
      <c r="K16" s="4">
        <f t="shared" si="0"/>
        <v>21600</v>
      </c>
      <c r="L16" s="4">
        <v>4800</v>
      </c>
      <c r="M16" s="4">
        <v>500</v>
      </c>
      <c r="N16" s="4">
        <f t="shared" si="1"/>
        <v>25900</v>
      </c>
      <c r="O16" s="4">
        <v>25900</v>
      </c>
      <c r="P16" s="4">
        <f t="shared" si="2"/>
        <v>0</v>
      </c>
      <c r="Q16" s="3" t="s">
        <v>322</v>
      </c>
      <c r="R16" s="3" t="s">
        <v>293</v>
      </c>
    </row>
    <row r="17" spans="1:18" ht="18" customHeight="1" x14ac:dyDescent="0.3">
      <c r="A17" s="6" t="s">
        <v>323</v>
      </c>
      <c r="B17" s="7" t="s">
        <v>255</v>
      </c>
      <c r="C17" s="12" t="s">
        <v>324</v>
      </c>
      <c r="D17" s="7" t="s">
        <v>69</v>
      </c>
      <c r="E17" s="12" t="s">
        <v>70</v>
      </c>
      <c r="F17" s="13">
        <v>45737</v>
      </c>
      <c r="G17" s="13">
        <v>45740</v>
      </c>
      <c r="H17" s="7">
        <v>3</v>
      </c>
      <c r="I17" s="7">
        <v>2</v>
      </c>
      <c r="J17" s="8">
        <v>10500</v>
      </c>
      <c r="K17" s="8">
        <f t="shared" si="0"/>
        <v>31500</v>
      </c>
      <c r="L17" s="8">
        <v>10000</v>
      </c>
      <c r="M17" s="8">
        <v>1000</v>
      </c>
      <c r="N17" s="8">
        <f t="shared" si="1"/>
        <v>40500</v>
      </c>
      <c r="O17" s="8">
        <v>40500</v>
      </c>
      <c r="P17" s="8">
        <f t="shared" si="2"/>
        <v>0</v>
      </c>
      <c r="Q17" s="7" t="s">
        <v>292</v>
      </c>
      <c r="R17" s="7" t="s">
        <v>293</v>
      </c>
    </row>
    <row r="18" spans="1:18" ht="18" customHeight="1" x14ac:dyDescent="0.3">
      <c r="A18" s="2" t="s">
        <v>325</v>
      </c>
      <c r="B18" s="3" t="s">
        <v>152</v>
      </c>
      <c r="C18" s="10" t="s">
        <v>326</v>
      </c>
      <c r="D18" s="3" t="s">
        <v>90</v>
      </c>
      <c r="E18" s="10" t="s">
        <v>91</v>
      </c>
      <c r="F18" s="11">
        <v>45744</v>
      </c>
      <c r="G18" s="11">
        <v>45747</v>
      </c>
      <c r="H18" s="3">
        <v>3</v>
      </c>
      <c r="I18" s="3">
        <v>2</v>
      </c>
      <c r="J18" s="4">
        <v>1800</v>
      </c>
      <c r="K18" s="4">
        <f t="shared" si="0"/>
        <v>5400</v>
      </c>
      <c r="L18" s="4">
        <v>0</v>
      </c>
      <c r="M18" s="4">
        <v>0</v>
      </c>
      <c r="N18" s="4">
        <f t="shared" si="1"/>
        <v>5400</v>
      </c>
      <c r="O18" s="4">
        <v>4300</v>
      </c>
      <c r="P18" s="4">
        <f t="shared" si="2"/>
        <v>1100</v>
      </c>
      <c r="Q18" s="3" t="s">
        <v>322</v>
      </c>
      <c r="R18" s="3" t="s">
        <v>293</v>
      </c>
    </row>
    <row r="19" spans="1:18" ht="18" customHeight="1" x14ac:dyDescent="0.3">
      <c r="A19" s="6" t="s">
        <v>327</v>
      </c>
      <c r="B19" s="7" t="s">
        <v>243</v>
      </c>
      <c r="C19" s="12" t="s">
        <v>328</v>
      </c>
      <c r="D19" s="7" t="s">
        <v>75</v>
      </c>
      <c r="E19" s="12" t="s">
        <v>76</v>
      </c>
      <c r="F19" s="13">
        <v>45751</v>
      </c>
      <c r="G19" s="13">
        <v>45754</v>
      </c>
      <c r="H19" s="7">
        <v>3</v>
      </c>
      <c r="I19" s="7">
        <v>5</v>
      </c>
      <c r="J19" s="8">
        <v>28000</v>
      </c>
      <c r="K19" s="8">
        <f t="shared" si="0"/>
        <v>84000</v>
      </c>
      <c r="L19" s="8">
        <v>15000</v>
      </c>
      <c r="M19" s="8">
        <v>3000</v>
      </c>
      <c r="N19" s="8">
        <f t="shared" si="1"/>
        <v>96000</v>
      </c>
      <c r="O19" s="8">
        <v>96000</v>
      </c>
      <c r="P19" s="8">
        <f t="shared" si="2"/>
        <v>0</v>
      </c>
      <c r="Q19" s="7" t="s">
        <v>317</v>
      </c>
      <c r="R19" s="7" t="s">
        <v>293</v>
      </c>
    </row>
    <row r="20" spans="1:18" ht="18" customHeight="1" x14ac:dyDescent="0.3">
      <c r="A20" s="2" t="s">
        <v>329</v>
      </c>
      <c r="B20" s="3" t="s">
        <v>175</v>
      </c>
      <c r="C20" s="10" t="s">
        <v>330</v>
      </c>
      <c r="D20" s="3" t="s">
        <v>45</v>
      </c>
      <c r="E20" s="10" t="s">
        <v>18</v>
      </c>
      <c r="F20" s="11">
        <v>45752</v>
      </c>
      <c r="G20" s="11">
        <v>45754</v>
      </c>
      <c r="H20" s="3">
        <v>2</v>
      </c>
      <c r="I20" s="3">
        <v>2</v>
      </c>
      <c r="J20" s="4">
        <v>3800</v>
      </c>
      <c r="K20" s="4">
        <f t="shared" si="0"/>
        <v>7600</v>
      </c>
      <c r="L20" s="4">
        <v>800</v>
      </c>
      <c r="M20" s="4">
        <v>0</v>
      </c>
      <c r="N20" s="4">
        <f t="shared" si="1"/>
        <v>8400</v>
      </c>
      <c r="O20" s="4">
        <v>8400</v>
      </c>
      <c r="P20" s="4">
        <f t="shared" si="2"/>
        <v>0</v>
      </c>
      <c r="Q20" s="3" t="s">
        <v>292</v>
      </c>
      <c r="R20" s="3" t="s">
        <v>293</v>
      </c>
    </row>
    <row r="21" spans="1:18" ht="18" customHeight="1" x14ac:dyDescent="0.3">
      <c r="A21" s="6" t="s">
        <v>331</v>
      </c>
      <c r="B21" s="7" t="s">
        <v>205</v>
      </c>
      <c r="C21" s="12" t="s">
        <v>332</v>
      </c>
      <c r="D21" s="7" t="s">
        <v>87</v>
      </c>
      <c r="E21" s="12" t="s">
        <v>82</v>
      </c>
      <c r="F21" s="13">
        <v>45758</v>
      </c>
      <c r="G21" s="13">
        <v>45761</v>
      </c>
      <c r="H21" s="7">
        <v>3</v>
      </c>
      <c r="I21" s="7">
        <v>5</v>
      </c>
      <c r="J21" s="8">
        <v>10000</v>
      </c>
      <c r="K21" s="8">
        <f t="shared" si="0"/>
        <v>30000</v>
      </c>
      <c r="L21" s="8">
        <v>4500</v>
      </c>
      <c r="M21" s="8">
        <v>500</v>
      </c>
      <c r="N21" s="8">
        <f t="shared" si="1"/>
        <v>34000</v>
      </c>
      <c r="O21" s="8">
        <v>27200</v>
      </c>
      <c r="P21" s="8">
        <f t="shared" si="2"/>
        <v>6800</v>
      </c>
      <c r="Q21" s="7" t="s">
        <v>292</v>
      </c>
      <c r="R21" s="7" t="s">
        <v>293</v>
      </c>
    </row>
    <row r="22" spans="1:18" ht="18" customHeight="1" x14ac:dyDescent="0.3">
      <c r="A22" s="2" t="s">
        <v>333</v>
      </c>
      <c r="B22" s="3" t="s">
        <v>191</v>
      </c>
      <c r="C22" s="10" t="s">
        <v>334</v>
      </c>
      <c r="D22" s="3" t="s">
        <v>65</v>
      </c>
      <c r="E22" s="10" t="s">
        <v>54</v>
      </c>
      <c r="F22" s="11">
        <v>45765</v>
      </c>
      <c r="G22" s="11">
        <v>45769</v>
      </c>
      <c r="H22" s="3">
        <v>4</v>
      </c>
      <c r="I22" s="3">
        <v>2</v>
      </c>
      <c r="J22" s="4">
        <v>9500</v>
      </c>
      <c r="K22" s="4">
        <f t="shared" si="0"/>
        <v>38000</v>
      </c>
      <c r="L22" s="4">
        <v>6000</v>
      </c>
      <c r="M22" s="4">
        <v>0</v>
      </c>
      <c r="N22" s="4">
        <f t="shared" si="1"/>
        <v>44000</v>
      </c>
      <c r="O22" s="4">
        <v>44000</v>
      </c>
      <c r="P22" s="4">
        <f t="shared" si="2"/>
        <v>0</v>
      </c>
      <c r="Q22" s="3" t="s">
        <v>317</v>
      </c>
      <c r="R22" s="3" t="s">
        <v>293</v>
      </c>
    </row>
    <row r="23" spans="1:18" ht="18" customHeight="1" x14ac:dyDescent="0.3">
      <c r="A23" s="6" t="s">
        <v>335</v>
      </c>
      <c r="B23" s="7" t="s">
        <v>138</v>
      </c>
      <c r="C23" s="12" t="s">
        <v>336</v>
      </c>
      <c r="D23" s="7" t="s">
        <v>16</v>
      </c>
      <c r="E23" s="12" t="s">
        <v>18</v>
      </c>
      <c r="F23" s="13">
        <v>45772</v>
      </c>
      <c r="G23" s="13">
        <v>45774</v>
      </c>
      <c r="H23" s="7">
        <v>2</v>
      </c>
      <c r="I23" s="7">
        <v>2</v>
      </c>
      <c r="J23" s="8">
        <v>3500</v>
      </c>
      <c r="K23" s="8">
        <f t="shared" si="0"/>
        <v>7000</v>
      </c>
      <c r="L23" s="8">
        <v>0</v>
      </c>
      <c r="M23" s="8">
        <v>0</v>
      </c>
      <c r="N23" s="8">
        <f t="shared" si="1"/>
        <v>7000</v>
      </c>
      <c r="O23" s="8">
        <v>7000</v>
      </c>
      <c r="P23" s="8">
        <f t="shared" si="2"/>
        <v>0</v>
      </c>
      <c r="Q23" s="7" t="s">
        <v>322</v>
      </c>
      <c r="R23" s="7" t="s">
        <v>293</v>
      </c>
    </row>
    <row r="24" spans="1:18" ht="18" customHeight="1" x14ac:dyDescent="0.3">
      <c r="A24" s="2" t="s">
        <v>337</v>
      </c>
      <c r="B24" s="3" t="s">
        <v>226</v>
      </c>
      <c r="C24" s="10" t="s">
        <v>338</v>
      </c>
      <c r="D24" s="3" t="s">
        <v>57</v>
      </c>
      <c r="E24" s="10" t="s">
        <v>41</v>
      </c>
      <c r="F24" s="11">
        <v>45779</v>
      </c>
      <c r="G24" s="11">
        <v>45782</v>
      </c>
      <c r="H24" s="3">
        <v>3</v>
      </c>
      <c r="I24" s="3">
        <v>4</v>
      </c>
      <c r="J24" s="4">
        <v>5000</v>
      </c>
      <c r="K24" s="4">
        <f t="shared" si="0"/>
        <v>15000</v>
      </c>
      <c r="L24" s="4">
        <v>5400</v>
      </c>
      <c r="M24" s="4">
        <v>800</v>
      </c>
      <c r="N24" s="4">
        <f t="shared" si="1"/>
        <v>19600</v>
      </c>
      <c r="O24" s="4">
        <v>19600</v>
      </c>
      <c r="P24" s="4">
        <f t="shared" si="2"/>
        <v>0</v>
      </c>
      <c r="Q24" s="3" t="s">
        <v>322</v>
      </c>
      <c r="R24" s="3" t="s">
        <v>293</v>
      </c>
    </row>
    <row r="25" spans="1:18" ht="18" customHeight="1" x14ac:dyDescent="0.3">
      <c r="A25" s="6" t="s">
        <v>339</v>
      </c>
      <c r="B25" s="7" t="s">
        <v>157</v>
      </c>
      <c r="C25" s="12" t="s">
        <v>295</v>
      </c>
      <c r="D25" s="7" t="s">
        <v>69</v>
      </c>
      <c r="E25" s="12" t="s">
        <v>70</v>
      </c>
      <c r="F25" s="13">
        <v>45786</v>
      </c>
      <c r="G25" s="13">
        <v>45789</v>
      </c>
      <c r="H25" s="7">
        <v>3</v>
      </c>
      <c r="I25" s="7">
        <v>2</v>
      </c>
      <c r="J25" s="8">
        <v>10500</v>
      </c>
      <c r="K25" s="8">
        <f t="shared" si="0"/>
        <v>31500</v>
      </c>
      <c r="L25" s="8">
        <v>8000</v>
      </c>
      <c r="M25" s="8">
        <v>2000</v>
      </c>
      <c r="N25" s="8">
        <f t="shared" si="1"/>
        <v>37500</v>
      </c>
      <c r="O25" s="8">
        <v>37500</v>
      </c>
      <c r="P25" s="8">
        <f t="shared" si="2"/>
        <v>0</v>
      </c>
      <c r="Q25" s="7" t="s">
        <v>305</v>
      </c>
      <c r="R25" s="7" t="s">
        <v>293</v>
      </c>
    </row>
    <row r="26" spans="1:18" ht="18" customHeight="1" x14ac:dyDescent="0.3">
      <c r="A26" s="2" t="s">
        <v>340</v>
      </c>
      <c r="B26" s="3" t="s">
        <v>221</v>
      </c>
      <c r="C26" s="10" t="s">
        <v>341</v>
      </c>
      <c r="D26" s="3" t="s">
        <v>49</v>
      </c>
      <c r="E26" s="10" t="s">
        <v>34</v>
      </c>
      <c r="F26" s="11">
        <v>45793</v>
      </c>
      <c r="G26" s="11">
        <v>45797</v>
      </c>
      <c r="H26" s="3">
        <v>4</v>
      </c>
      <c r="I26" s="3">
        <v>2</v>
      </c>
      <c r="J26" s="4">
        <v>4000</v>
      </c>
      <c r="K26" s="4">
        <f t="shared" si="0"/>
        <v>16000</v>
      </c>
      <c r="L26" s="4">
        <v>5000</v>
      </c>
      <c r="M26" s="4">
        <v>0</v>
      </c>
      <c r="N26" s="4">
        <f t="shared" si="1"/>
        <v>21000</v>
      </c>
      <c r="O26" s="4">
        <v>21000</v>
      </c>
      <c r="P26" s="4">
        <f t="shared" si="2"/>
        <v>0</v>
      </c>
      <c r="Q26" s="3" t="s">
        <v>322</v>
      </c>
      <c r="R26" s="3" t="s">
        <v>293</v>
      </c>
    </row>
    <row r="27" spans="1:18" ht="18" customHeight="1" x14ac:dyDescent="0.3">
      <c r="A27" s="6" t="s">
        <v>342</v>
      </c>
      <c r="B27" s="7" t="s">
        <v>247</v>
      </c>
      <c r="C27" s="12" t="s">
        <v>343</v>
      </c>
      <c r="D27" s="7" t="s">
        <v>86</v>
      </c>
      <c r="E27" s="12" t="s">
        <v>82</v>
      </c>
      <c r="F27" s="13">
        <v>45800</v>
      </c>
      <c r="G27" s="13">
        <v>45803</v>
      </c>
      <c r="H27" s="7">
        <v>3</v>
      </c>
      <c r="I27" s="7">
        <v>3</v>
      </c>
      <c r="J27" s="8">
        <v>5500</v>
      </c>
      <c r="K27" s="8">
        <f t="shared" si="0"/>
        <v>16500</v>
      </c>
      <c r="L27" s="8">
        <v>2000</v>
      </c>
      <c r="M27" s="8">
        <v>0</v>
      </c>
      <c r="N27" s="8">
        <f t="shared" si="1"/>
        <v>18500</v>
      </c>
      <c r="O27" s="8">
        <v>9200</v>
      </c>
      <c r="P27" s="8">
        <f t="shared" si="2"/>
        <v>9300</v>
      </c>
      <c r="Q27" s="7" t="s">
        <v>292</v>
      </c>
      <c r="R27" s="7" t="s">
        <v>293</v>
      </c>
    </row>
    <row r="28" spans="1:18" ht="18" customHeight="1" x14ac:dyDescent="0.3">
      <c r="A28" s="2" t="s">
        <v>344</v>
      </c>
      <c r="B28" s="3" t="s">
        <v>267</v>
      </c>
      <c r="C28" s="10" t="s">
        <v>345</v>
      </c>
      <c r="D28" s="3" t="s">
        <v>33</v>
      </c>
      <c r="E28" s="10" t="s">
        <v>34</v>
      </c>
      <c r="F28" s="11">
        <v>45807</v>
      </c>
      <c r="G28" s="11">
        <v>45810</v>
      </c>
      <c r="H28" s="3">
        <v>3</v>
      </c>
      <c r="I28" s="3">
        <v>2</v>
      </c>
      <c r="J28" s="4">
        <v>3800</v>
      </c>
      <c r="K28" s="4">
        <f t="shared" si="0"/>
        <v>11400</v>
      </c>
      <c r="L28" s="4">
        <v>1800</v>
      </c>
      <c r="M28" s="4">
        <v>0</v>
      </c>
      <c r="N28" s="4">
        <f t="shared" si="1"/>
        <v>13200</v>
      </c>
      <c r="O28" s="4">
        <v>13200</v>
      </c>
      <c r="P28" s="4">
        <f t="shared" si="2"/>
        <v>0</v>
      </c>
      <c r="Q28" s="3" t="s">
        <v>300</v>
      </c>
      <c r="R28" s="3" t="s">
        <v>293</v>
      </c>
    </row>
    <row r="29" spans="1:18" ht="18" customHeight="1" x14ac:dyDescent="0.3">
      <c r="A29" s="6" t="s">
        <v>346</v>
      </c>
      <c r="B29" s="7" t="s">
        <v>230</v>
      </c>
      <c r="C29" s="12" t="s">
        <v>307</v>
      </c>
      <c r="D29" s="7" t="s">
        <v>75</v>
      </c>
      <c r="E29" s="12" t="s">
        <v>76</v>
      </c>
      <c r="F29" s="13">
        <v>45814</v>
      </c>
      <c r="G29" s="13">
        <v>45817</v>
      </c>
      <c r="H29" s="7">
        <v>3</v>
      </c>
      <c r="I29" s="7">
        <v>4</v>
      </c>
      <c r="J29" s="8">
        <v>22000</v>
      </c>
      <c r="K29" s="8">
        <f t="shared" si="0"/>
        <v>66000</v>
      </c>
      <c r="L29" s="8">
        <v>18000</v>
      </c>
      <c r="M29" s="8">
        <v>3000</v>
      </c>
      <c r="N29" s="8">
        <f t="shared" si="1"/>
        <v>81000</v>
      </c>
      <c r="O29" s="8">
        <v>81000</v>
      </c>
      <c r="P29" s="8">
        <f t="shared" si="2"/>
        <v>0</v>
      </c>
      <c r="Q29" s="7" t="s">
        <v>322</v>
      </c>
      <c r="R29" s="7" t="s">
        <v>293</v>
      </c>
    </row>
    <row r="30" spans="1:18" ht="18" customHeight="1" x14ac:dyDescent="0.3">
      <c r="A30" s="2" t="s">
        <v>347</v>
      </c>
      <c r="B30" s="3" t="s">
        <v>179</v>
      </c>
      <c r="C30" s="10" t="s">
        <v>297</v>
      </c>
      <c r="D30" s="3" t="s">
        <v>53</v>
      </c>
      <c r="E30" s="10" t="s">
        <v>54</v>
      </c>
      <c r="F30" s="11">
        <v>45821</v>
      </c>
      <c r="G30" s="11">
        <v>45823</v>
      </c>
      <c r="H30" s="3">
        <v>2</v>
      </c>
      <c r="I30" s="3">
        <v>2</v>
      </c>
      <c r="J30" s="4">
        <v>7500</v>
      </c>
      <c r="K30" s="4">
        <f t="shared" si="0"/>
        <v>15000</v>
      </c>
      <c r="L30" s="4">
        <v>0</v>
      </c>
      <c r="M30" s="4">
        <v>500</v>
      </c>
      <c r="N30" s="4">
        <f t="shared" si="1"/>
        <v>14500</v>
      </c>
      <c r="O30" s="4">
        <v>14500</v>
      </c>
      <c r="P30" s="4">
        <f t="shared" si="2"/>
        <v>0</v>
      </c>
      <c r="Q30" s="3" t="s">
        <v>305</v>
      </c>
      <c r="R30" s="3" t="s">
        <v>293</v>
      </c>
    </row>
    <row r="31" spans="1:18" ht="18" customHeight="1" x14ac:dyDescent="0.3">
      <c r="A31" s="6" t="s">
        <v>348</v>
      </c>
      <c r="B31" s="7" t="s">
        <v>200</v>
      </c>
      <c r="C31" s="12" t="s">
        <v>349</v>
      </c>
      <c r="D31" s="7" t="s">
        <v>59</v>
      </c>
      <c r="E31" s="12" t="s">
        <v>34</v>
      </c>
      <c r="F31" s="13">
        <v>45828</v>
      </c>
      <c r="G31" s="13">
        <v>45832</v>
      </c>
      <c r="H31" s="7">
        <v>4</v>
      </c>
      <c r="I31" s="7">
        <v>2</v>
      </c>
      <c r="J31" s="8">
        <v>5000</v>
      </c>
      <c r="K31" s="8">
        <f t="shared" si="0"/>
        <v>20000</v>
      </c>
      <c r="L31" s="8">
        <v>4000</v>
      </c>
      <c r="M31" s="8">
        <v>0</v>
      </c>
      <c r="N31" s="8">
        <f t="shared" si="1"/>
        <v>24000</v>
      </c>
      <c r="O31" s="8">
        <v>0</v>
      </c>
      <c r="P31" s="8">
        <f t="shared" si="2"/>
        <v>24000</v>
      </c>
      <c r="Q31" s="7" t="s">
        <v>317</v>
      </c>
      <c r="R31" s="7" t="s">
        <v>293</v>
      </c>
    </row>
    <row r="32" spans="1:18" ht="18" customHeight="1" x14ac:dyDescent="0.3">
      <c r="A32" s="2" t="s">
        <v>350</v>
      </c>
      <c r="B32" s="3" t="s">
        <v>162</v>
      </c>
      <c r="C32" s="10" t="s">
        <v>351</v>
      </c>
      <c r="D32" s="3" t="s">
        <v>47</v>
      </c>
      <c r="E32" s="10" t="s">
        <v>18</v>
      </c>
      <c r="F32" s="11">
        <v>45835</v>
      </c>
      <c r="G32" s="11">
        <v>45837</v>
      </c>
      <c r="H32" s="3">
        <v>2</v>
      </c>
      <c r="I32" s="3">
        <v>2</v>
      </c>
      <c r="J32" s="4">
        <v>3300</v>
      </c>
      <c r="K32" s="4">
        <f t="shared" si="0"/>
        <v>6600</v>
      </c>
      <c r="L32" s="4">
        <v>0</v>
      </c>
      <c r="M32" s="4">
        <v>0</v>
      </c>
      <c r="N32" s="4">
        <f t="shared" si="1"/>
        <v>6600</v>
      </c>
      <c r="O32" s="4">
        <v>3300</v>
      </c>
      <c r="P32" s="4">
        <f t="shared" si="2"/>
        <v>3300</v>
      </c>
      <c r="Q32" s="3" t="s">
        <v>310</v>
      </c>
      <c r="R32" s="3" t="s">
        <v>293</v>
      </c>
    </row>
    <row r="33" spans="1:18" ht="18" customHeight="1" x14ac:dyDescent="0.3">
      <c r="A33" s="6" t="s">
        <v>352</v>
      </c>
      <c r="B33" s="7" t="s">
        <v>213</v>
      </c>
      <c r="C33" s="12" t="s">
        <v>353</v>
      </c>
      <c r="D33" s="7" t="s">
        <v>98</v>
      </c>
      <c r="E33" s="12" t="s">
        <v>99</v>
      </c>
      <c r="F33" s="13">
        <v>45842</v>
      </c>
      <c r="G33" s="13">
        <v>45845</v>
      </c>
      <c r="H33" s="7">
        <v>3</v>
      </c>
      <c r="I33" s="7">
        <v>4</v>
      </c>
      <c r="J33" s="8">
        <v>600</v>
      </c>
      <c r="K33" s="8">
        <f t="shared" si="0"/>
        <v>1800</v>
      </c>
      <c r="L33" s="8">
        <v>0</v>
      </c>
      <c r="M33" s="8">
        <v>0</v>
      </c>
      <c r="N33" s="8">
        <f t="shared" si="1"/>
        <v>1800</v>
      </c>
      <c r="O33" s="8">
        <v>1800</v>
      </c>
      <c r="P33" s="8">
        <f t="shared" si="2"/>
        <v>0</v>
      </c>
      <c r="Q33" s="7" t="s">
        <v>322</v>
      </c>
      <c r="R33" s="7" t="s">
        <v>293</v>
      </c>
    </row>
    <row r="34" spans="1:18" ht="18" customHeight="1" x14ac:dyDescent="0.3">
      <c r="A34" s="2" t="s">
        <v>354</v>
      </c>
      <c r="B34" s="3" t="s">
        <v>143</v>
      </c>
      <c r="C34" s="10" t="s">
        <v>319</v>
      </c>
      <c r="D34" s="3" t="s">
        <v>87</v>
      </c>
      <c r="E34" s="10" t="s">
        <v>82</v>
      </c>
      <c r="F34" s="11">
        <v>45849</v>
      </c>
      <c r="G34" s="11">
        <v>45853</v>
      </c>
      <c r="H34" s="3">
        <v>4</v>
      </c>
      <c r="I34" s="3">
        <v>5</v>
      </c>
      <c r="J34" s="4">
        <v>7000</v>
      </c>
      <c r="K34" s="4">
        <f t="shared" si="0"/>
        <v>28000</v>
      </c>
      <c r="L34" s="4">
        <v>6000</v>
      </c>
      <c r="M34" s="4">
        <v>1000</v>
      </c>
      <c r="N34" s="4">
        <f t="shared" si="1"/>
        <v>33000</v>
      </c>
      <c r="O34" s="4">
        <v>23100</v>
      </c>
      <c r="P34" s="4">
        <f t="shared" si="2"/>
        <v>9900</v>
      </c>
      <c r="Q34" s="3" t="s">
        <v>317</v>
      </c>
      <c r="R34" s="3" t="s">
        <v>355</v>
      </c>
    </row>
    <row r="35" spans="1:18" ht="18" customHeight="1" x14ac:dyDescent="0.3">
      <c r="A35" s="6" t="s">
        <v>356</v>
      </c>
      <c r="B35" s="7" t="s">
        <v>120</v>
      </c>
      <c r="C35" s="12" t="s">
        <v>291</v>
      </c>
      <c r="D35" s="7" t="s">
        <v>66</v>
      </c>
      <c r="E35" s="12" t="s">
        <v>54</v>
      </c>
      <c r="F35" s="13">
        <v>45856</v>
      </c>
      <c r="G35" s="13">
        <v>45859</v>
      </c>
      <c r="H35" s="7">
        <v>3</v>
      </c>
      <c r="I35" s="7">
        <v>2</v>
      </c>
      <c r="J35" s="8">
        <v>7200</v>
      </c>
      <c r="K35" s="8">
        <f t="shared" si="0"/>
        <v>21600</v>
      </c>
      <c r="L35" s="8">
        <v>4800</v>
      </c>
      <c r="M35" s="8">
        <v>1000</v>
      </c>
      <c r="N35" s="8">
        <f t="shared" si="1"/>
        <v>25400</v>
      </c>
      <c r="O35" s="8">
        <v>25400</v>
      </c>
      <c r="P35" s="8">
        <f t="shared" si="2"/>
        <v>0</v>
      </c>
      <c r="Q35" s="7" t="s">
        <v>292</v>
      </c>
      <c r="R35" s="7" t="s">
        <v>293</v>
      </c>
    </row>
    <row r="36" spans="1:18" ht="18" customHeight="1" x14ac:dyDescent="0.3">
      <c r="A36" s="2" t="s">
        <v>357</v>
      </c>
      <c r="B36" s="3" t="s">
        <v>234</v>
      </c>
      <c r="C36" s="10" t="s">
        <v>358</v>
      </c>
      <c r="D36" s="3" t="s">
        <v>62</v>
      </c>
      <c r="E36" s="10" t="s">
        <v>34</v>
      </c>
      <c r="F36" s="11">
        <v>45863</v>
      </c>
      <c r="G36" s="11">
        <v>45867</v>
      </c>
      <c r="H36" s="3">
        <v>4</v>
      </c>
      <c r="I36" s="3">
        <v>2</v>
      </c>
      <c r="J36" s="4">
        <v>4500</v>
      </c>
      <c r="K36" s="4">
        <f t="shared" ref="K36:K67" si="3">J36*H36</f>
        <v>18000</v>
      </c>
      <c r="L36" s="4">
        <v>6000</v>
      </c>
      <c r="M36" s="4">
        <v>0</v>
      </c>
      <c r="N36" s="4">
        <f t="shared" ref="N36:N67" si="4">K36+L36-M36</f>
        <v>24000</v>
      </c>
      <c r="O36" s="4">
        <v>24000</v>
      </c>
      <c r="P36" s="4">
        <f t="shared" ref="P36:P67" si="5">N36-O36</f>
        <v>0</v>
      </c>
      <c r="Q36" s="3" t="s">
        <v>300</v>
      </c>
      <c r="R36" s="3" t="s">
        <v>293</v>
      </c>
    </row>
    <row r="37" spans="1:18" ht="18" customHeight="1" x14ac:dyDescent="0.3">
      <c r="A37" s="6" t="s">
        <v>359</v>
      </c>
      <c r="B37" s="7" t="s">
        <v>166</v>
      </c>
      <c r="C37" s="12" t="s">
        <v>312</v>
      </c>
      <c r="D37" s="7" t="s">
        <v>75</v>
      </c>
      <c r="E37" s="12" t="s">
        <v>76</v>
      </c>
      <c r="F37" s="13">
        <v>45870</v>
      </c>
      <c r="G37" s="13">
        <v>45873</v>
      </c>
      <c r="H37" s="7">
        <v>3</v>
      </c>
      <c r="I37" s="7">
        <v>3</v>
      </c>
      <c r="J37" s="8">
        <v>28000</v>
      </c>
      <c r="K37" s="8">
        <f t="shared" si="3"/>
        <v>84000</v>
      </c>
      <c r="L37" s="8">
        <v>12000</v>
      </c>
      <c r="M37" s="8">
        <v>3000</v>
      </c>
      <c r="N37" s="8">
        <f t="shared" si="4"/>
        <v>93000</v>
      </c>
      <c r="O37" s="8">
        <v>46500</v>
      </c>
      <c r="P37" s="8">
        <f t="shared" si="5"/>
        <v>46500</v>
      </c>
      <c r="Q37" s="7" t="s">
        <v>317</v>
      </c>
      <c r="R37" s="7" t="s">
        <v>355</v>
      </c>
    </row>
    <row r="38" spans="1:18" ht="18" customHeight="1" x14ac:dyDescent="0.3">
      <c r="A38" s="2" t="s">
        <v>360</v>
      </c>
      <c r="B38" s="3" t="s">
        <v>263</v>
      </c>
      <c r="C38" s="10" t="s">
        <v>361</v>
      </c>
      <c r="D38" s="3" t="s">
        <v>65</v>
      </c>
      <c r="E38" s="10" t="s">
        <v>54</v>
      </c>
      <c r="F38" s="11">
        <v>45877</v>
      </c>
      <c r="G38" s="11">
        <v>45881</v>
      </c>
      <c r="H38" s="3">
        <v>4</v>
      </c>
      <c r="I38" s="3">
        <v>2</v>
      </c>
      <c r="J38" s="4">
        <v>9500</v>
      </c>
      <c r="K38" s="4">
        <f t="shared" si="3"/>
        <v>38000</v>
      </c>
      <c r="L38" s="4">
        <v>5000</v>
      </c>
      <c r="M38" s="4">
        <v>0</v>
      </c>
      <c r="N38" s="4">
        <f t="shared" si="4"/>
        <v>43000</v>
      </c>
      <c r="O38" s="4">
        <v>30100</v>
      </c>
      <c r="P38" s="4">
        <f t="shared" si="5"/>
        <v>12900</v>
      </c>
      <c r="Q38" s="3" t="s">
        <v>305</v>
      </c>
      <c r="R38" s="3" t="s">
        <v>293</v>
      </c>
    </row>
    <row r="39" spans="1:18" ht="18" customHeight="1" x14ac:dyDescent="0.3">
      <c r="A39" s="6" t="s">
        <v>362</v>
      </c>
      <c r="B39" s="7" t="s">
        <v>187</v>
      </c>
      <c r="C39" s="12" t="s">
        <v>363</v>
      </c>
      <c r="D39" s="7" t="s">
        <v>40</v>
      </c>
      <c r="E39" s="12" t="s">
        <v>41</v>
      </c>
      <c r="F39" s="13">
        <v>45884</v>
      </c>
      <c r="G39" s="13">
        <v>45887</v>
      </c>
      <c r="H39" s="7">
        <v>3</v>
      </c>
      <c r="I39" s="7">
        <v>4</v>
      </c>
      <c r="J39" s="8">
        <v>6000</v>
      </c>
      <c r="K39" s="8">
        <f t="shared" si="3"/>
        <v>18000</v>
      </c>
      <c r="L39" s="8">
        <v>5400</v>
      </c>
      <c r="M39" s="8">
        <v>800</v>
      </c>
      <c r="N39" s="8">
        <f t="shared" si="4"/>
        <v>22600</v>
      </c>
      <c r="O39" s="8">
        <v>15800</v>
      </c>
      <c r="P39" s="8">
        <f t="shared" si="5"/>
        <v>6800</v>
      </c>
      <c r="Q39" s="7" t="s">
        <v>292</v>
      </c>
      <c r="R39" s="7" t="s">
        <v>293</v>
      </c>
    </row>
    <row r="40" spans="1:18" ht="18" customHeight="1" x14ac:dyDescent="0.3">
      <c r="A40" s="2" t="s">
        <v>364</v>
      </c>
      <c r="B40" s="3" t="s">
        <v>217</v>
      </c>
      <c r="C40" s="10" t="s">
        <v>304</v>
      </c>
      <c r="D40" s="3" t="s">
        <v>69</v>
      </c>
      <c r="E40" s="10" t="s">
        <v>70</v>
      </c>
      <c r="F40" s="11">
        <v>45891</v>
      </c>
      <c r="G40" s="11">
        <v>45894</v>
      </c>
      <c r="H40" s="3">
        <v>3</v>
      </c>
      <c r="I40" s="3">
        <v>2</v>
      </c>
      <c r="J40" s="4">
        <v>15000</v>
      </c>
      <c r="K40" s="4">
        <f t="shared" si="3"/>
        <v>45000</v>
      </c>
      <c r="L40" s="4">
        <v>8000</v>
      </c>
      <c r="M40" s="4">
        <v>2000</v>
      </c>
      <c r="N40" s="4">
        <f t="shared" si="4"/>
        <v>51000</v>
      </c>
      <c r="O40" s="4">
        <v>0</v>
      </c>
      <c r="P40" s="4">
        <f t="shared" si="5"/>
        <v>51000</v>
      </c>
      <c r="Q40" s="3" t="s">
        <v>292</v>
      </c>
      <c r="R40" s="3" t="s">
        <v>293</v>
      </c>
    </row>
    <row r="41" spans="1:18" ht="18" customHeight="1" x14ac:dyDescent="0.3">
      <c r="A41" s="6" t="s">
        <v>365</v>
      </c>
      <c r="B41" s="7" t="s">
        <v>239</v>
      </c>
      <c r="C41" s="12" t="s">
        <v>366</v>
      </c>
      <c r="D41" s="7" t="s">
        <v>94</v>
      </c>
      <c r="E41" s="12" t="s">
        <v>91</v>
      </c>
      <c r="F41" s="13">
        <v>45898</v>
      </c>
      <c r="G41" s="13">
        <v>45901</v>
      </c>
      <c r="H41" s="7">
        <v>3</v>
      </c>
      <c r="I41" s="7">
        <v>2</v>
      </c>
      <c r="J41" s="8">
        <v>3200</v>
      </c>
      <c r="K41" s="8">
        <f t="shared" si="3"/>
        <v>9600</v>
      </c>
      <c r="L41" s="8">
        <v>0</v>
      </c>
      <c r="M41" s="8">
        <v>0</v>
      </c>
      <c r="N41" s="8">
        <f t="shared" si="4"/>
        <v>9600</v>
      </c>
      <c r="O41" s="8">
        <v>9600</v>
      </c>
      <c r="P41" s="8">
        <f t="shared" si="5"/>
        <v>0</v>
      </c>
      <c r="Q41" s="7" t="s">
        <v>292</v>
      </c>
      <c r="R41" s="7" t="s">
        <v>293</v>
      </c>
    </row>
    <row r="42" spans="1:18" ht="18" customHeight="1" x14ac:dyDescent="0.3">
      <c r="A42" s="2" t="s">
        <v>367</v>
      </c>
      <c r="B42" s="3" t="s">
        <v>251</v>
      </c>
      <c r="C42" s="10" t="s">
        <v>368</v>
      </c>
      <c r="D42" s="3" t="s">
        <v>45</v>
      </c>
      <c r="E42" s="10" t="s">
        <v>18</v>
      </c>
      <c r="F42" s="11">
        <v>45905</v>
      </c>
      <c r="G42" s="11">
        <v>45907</v>
      </c>
      <c r="H42" s="3">
        <v>2</v>
      </c>
      <c r="I42" s="3">
        <v>2</v>
      </c>
      <c r="J42" s="4">
        <v>2800</v>
      </c>
      <c r="K42" s="4">
        <f t="shared" si="3"/>
        <v>5600</v>
      </c>
      <c r="L42" s="4">
        <v>0</v>
      </c>
      <c r="M42" s="4">
        <v>0</v>
      </c>
      <c r="N42" s="4">
        <f t="shared" si="4"/>
        <v>5600</v>
      </c>
      <c r="O42" s="4">
        <v>5600</v>
      </c>
      <c r="P42" s="4">
        <f t="shared" si="5"/>
        <v>0</v>
      </c>
      <c r="Q42" s="3" t="s">
        <v>305</v>
      </c>
      <c r="R42" s="3" t="s">
        <v>293</v>
      </c>
    </row>
    <row r="43" spans="1:18" ht="18" customHeight="1" x14ac:dyDescent="0.3">
      <c r="A43" s="6" t="s">
        <v>369</v>
      </c>
      <c r="B43" s="7" t="s">
        <v>133</v>
      </c>
      <c r="C43" s="12" t="s">
        <v>309</v>
      </c>
      <c r="D43" s="7" t="s">
        <v>75</v>
      </c>
      <c r="E43" s="12" t="s">
        <v>76</v>
      </c>
      <c r="F43" s="13">
        <v>45912</v>
      </c>
      <c r="G43" s="13">
        <v>45916</v>
      </c>
      <c r="H43" s="7">
        <v>4</v>
      </c>
      <c r="I43" s="7">
        <v>2</v>
      </c>
      <c r="J43" s="8">
        <v>18000</v>
      </c>
      <c r="K43" s="8">
        <f t="shared" si="3"/>
        <v>72000</v>
      </c>
      <c r="L43" s="8">
        <v>20000</v>
      </c>
      <c r="M43" s="8">
        <v>5000</v>
      </c>
      <c r="N43" s="8">
        <f t="shared" si="4"/>
        <v>87000</v>
      </c>
      <c r="O43" s="8">
        <v>43500</v>
      </c>
      <c r="P43" s="8">
        <f t="shared" si="5"/>
        <v>43500</v>
      </c>
      <c r="Q43" s="7" t="s">
        <v>322</v>
      </c>
      <c r="R43" s="7" t="s">
        <v>293</v>
      </c>
    </row>
    <row r="44" spans="1:18" ht="18" customHeight="1" x14ac:dyDescent="0.3">
      <c r="A44" s="2" t="s">
        <v>370</v>
      </c>
      <c r="B44" s="3" t="s">
        <v>209</v>
      </c>
      <c r="C44" s="10" t="s">
        <v>371</v>
      </c>
      <c r="D44" s="3" t="s">
        <v>31</v>
      </c>
      <c r="E44" s="10" t="s">
        <v>18</v>
      </c>
      <c r="F44" s="11">
        <v>45919</v>
      </c>
      <c r="G44" s="11">
        <v>45921</v>
      </c>
      <c r="H44" s="3">
        <v>2</v>
      </c>
      <c r="I44" s="3">
        <v>2</v>
      </c>
      <c r="J44" s="4">
        <v>2800</v>
      </c>
      <c r="K44" s="4">
        <f t="shared" si="3"/>
        <v>5600</v>
      </c>
      <c r="L44" s="4">
        <v>0</v>
      </c>
      <c r="M44" s="4">
        <v>0</v>
      </c>
      <c r="N44" s="4">
        <f t="shared" si="4"/>
        <v>5600</v>
      </c>
      <c r="O44" s="4">
        <v>3900</v>
      </c>
      <c r="P44" s="4">
        <f t="shared" si="5"/>
        <v>1700</v>
      </c>
      <c r="Q44" s="3" t="s">
        <v>305</v>
      </c>
      <c r="R44" s="3" t="s">
        <v>293</v>
      </c>
    </row>
    <row r="45" spans="1:18" ht="18" customHeight="1" x14ac:dyDescent="0.3">
      <c r="A45" s="6" t="s">
        <v>372</v>
      </c>
      <c r="B45" s="7" t="s">
        <v>255</v>
      </c>
      <c r="C45" s="12" t="s">
        <v>324</v>
      </c>
      <c r="D45" s="7" t="s">
        <v>53</v>
      </c>
      <c r="E45" s="12" t="s">
        <v>54</v>
      </c>
      <c r="F45" s="13">
        <v>45926</v>
      </c>
      <c r="G45" s="13">
        <v>45929</v>
      </c>
      <c r="H45" s="7">
        <v>3</v>
      </c>
      <c r="I45" s="7">
        <v>2</v>
      </c>
      <c r="J45" s="8">
        <v>6500</v>
      </c>
      <c r="K45" s="8">
        <f t="shared" si="3"/>
        <v>19500</v>
      </c>
      <c r="L45" s="8">
        <v>1800</v>
      </c>
      <c r="M45" s="8">
        <v>500</v>
      </c>
      <c r="N45" s="8">
        <f t="shared" si="4"/>
        <v>20800</v>
      </c>
      <c r="O45" s="8">
        <v>20800</v>
      </c>
      <c r="P45" s="8">
        <f t="shared" si="5"/>
        <v>0</v>
      </c>
      <c r="Q45" s="7" t="s">
        <v>310</v>
      </c>
      <c r="R45" s="7" t="s">
        <v>293</v>
      </c>
    </row>
    <row r="46" spans="1:18" ht="18" customHeight="1" x14ac:dyDescent="0.3">
      <c r="A46" s="2" t="s">
        <v>373</v>
      </c>
      <c r="B46" s="3" t="s">
        <v>157</v>
      </c>
      <c r="C46" s="10" t="s">
        <v>295</v>
      </c>
      <c r="D46" s="3" t="s">
        <v>75</v>
      </c>
      <c r="E46" s="10" t="s">
        <v>76</v>
      </c>
      <c r="F46" s="11">
        <v>45933</v>
      </c>
      <c r="G46" s="11">
        <v>45937</v>
      </c>
      <c r="H46" s="3">
        <v>4</v>
      </c>
      <c r="I46" s="3">
        <v>6</v>
      </c>
      <c r="J46" s="4">
        <v>22000</v>
      </c>
      <c r="K46" s="4">
        <f t="shared" si="3"/>
        <v>88000</v>
      </c>
      <c r="L46" s="4">
        <v>25000</v>
      </c>
      <c r="M46" s="4">
        <v>5000</v>
      </c>
      <c r="N46" s="4">
        <f t="shared" si="4"/>
        <v>108000</v>
      </c>
      <c r="O46" s="4">
        <v>86400</v>
      </c>
      <c r="P46" s="4">
        <f t="shared" si="5"/>
        <v>21600</v>
      </c>
      <c r="Q46" s="3" t="s">
        <v>322</v>
      </c>
      <c r="R46" s="3" t="s">
        <v>293</v>
      </c>
    </row>
    <row r="47" spans="1:18" ht="18" customHeight="1" x14ac:dyDescent="0.3">
      <c r="A47" s="6" t="s">
        <v>374</v>
      </c>
      <c r="B47" s="7" t="s">
        <v>196</v>
      </c>
      <c r="C47" s="12" t="s">
        <v>321</v>
      </c>
      <c r="D47" s="7" t="s">
        <v>87</v>
      </c>
      <c r="E47" s="12" t="s">
        <v>82</v>
      </c>
      <c r="F47" s="13">
        <v>45940</v>
      </c>
      <c r="G47" s="13">
        <v>45943</v>
      </c>
      <c r="H47" s="7">
        <v>3</v>
      </c>
      <c r="I47" s="7">
        <v>4</v>
      </c>
      <c r="J47" s="8">
        <v>8500</v>
      </c>
      <c r="K47" s="8">
        <f t="shared" si="3"/>
        <v>25500</v>
      </c>
      <c r="L47" s="8">
        <v>3000</v>
      </c>
      <c r="M47" s="8">
        <v>500</v>
      </c>
      <c r="N47" s="8">
        <f t="shared" si="4"/>
        <v>28000</v>
      </c>
      <c r="O47" s="8">
        <v>0</v>
      </c>
      <c r="P47" s="8">
        <f t="shared" si="5"/>
        <v>28000</v>
      </c>
      <c r="Q47" s="7" t="s">
        <v>300</v>
      </c>
      <c r="R47" s="7" t="s">
        <v>293</v>
      </c>
    </row>
    <row r="48" spans="1:18" ht="18" customHeight="1" x14ac:dyDescent="0.3">
      <c r="A48" s="2" t="s">
        <v>375</v>
      </c>
      <c r="B48" s="3" t="s">
        <v>243</v>
      </c>
      <c r="C48" s="10" t="s">
        <v>328</v>
      </c>
      <c r="D48" s="3" t="s">
        <v>69</v>
      </c>
      <c r="E48" s="10" t="s">
        <v>70</v>
      </c>
      <c r="F48" s="11">
        <v>45947</v>
      </c>
      <c r="G48" s="11">
        <v>45950</v>
      </c>
      <c r="H48" s="3">
        <v>3</v>
      </c>
      <c r="I48" s="3">
        <v>2</v>
      </c>
      <c r="J48" s="4">
        <v>12000</v>
      </c>
      <c r="K48" s="4">
        <f t="shared" si="3"/>
        <v>36000</v>
      </c>
      <c r="L48" s="4">
        <v>8000</v>
      </c>
      <c r="M48" s="4">
        <v>2000</v>
      </c>
      <c r="N48" s="4">
        <f t="shared" si="4"/>
        <v>42000</v>
      </c>
      <c r="O48" s="4">
        <v>42000</v>
      </c>
      <c r="P48" s="4">
        <f t="shared" si="5"/>
        <v>0</v>
      </c>
      <c r="Q48" s="3" t="s">
        <v>317</v>
      </c>
      <c r="R48" s="3" t="s">
        <v>293</v>
      </c>
    </row>
    <row r="49" spans="1:18" ht="18" customHeight="1" x14ac:dyDescent="0.3">
      <c r="A49" s="6" t="s">
        <v>376</v>
      </c>
      <c r="B49" s="7" t="s">
        <v>271</v>
      </c>
      <c r="C49" s="12" t="s">
        <v>377</v>
      </c>
      <c r="D49" s="7" t="s">
        <v>103</v>
      </c>
      <c r="E49" s="12" t="s">
        <v>99</v>
      </c>
      <c r="F49" s="13">
        <v>45954</v>
      </c>
      <c r="G49" s="13">
        <v>45956</v>
      </c>
      <c r="H49" s="7">
        <v>2</v>
      </c>
      <c r="I49" s="7">
        <v>6</v>
      </c>
      <c r="J49" s="8">
        <v>700</v>
      </c>
      <c r="K49" s="8">
        <f t="shared" si="3"/>
        <v>1400</v>
      </c>
      <c r="L49" s="8">
        <v>0</v>
      </c>
      <c r="M49" s="8">
        <v>0</v>
      </c>
      <c r="N49" s="8">
        <f t="shared" si="4"/>
        <v>1400</v>
      </c>
      <c r="O49" s="8">
        <v>1400</v>
      </c>
      <c r="P49" s="8">
        <f t="shared" si="5"/>
        <v>0</v>
      </c>
      <c r="Q49" s="7" t="s">
        <v>322</v>
      </c>
      <c r="R49" s="7" t="s">
        <v>293</v>
      </c>
    </row>
    <row r="50" spans="1:18" ht="18" customHeight="1" x14ac:dyDescent="0.3">
      <c r="A50" s="2" t="s">
        <v>378</v>
      </c>
      <c r="B50" s="3" t="s">
        <v>138</v>
      </c>
      <c r="C50" s="10" t="s">
        <v>336</v>
      </c>
      <c r="D50" s="3" t="s">
        <v>31</v>
      </c>
      <c r="E50" s="10" t="s">
        <v>18</v>
      </c>
      <c r="F50" s="11">
        <v>45961</v>
      </c>
      <c r="G50" s="11">
        <v>45963</v>
      </c>
      <c r="H50" s="3">
        <v>2</v>
      </c>
      <c r="I50" s="3">
        <v>2</v>
      </c>
      <c r="J50" s="4">
        <v>3300</v>
      </c>
      <c r="K50" s="4">
        <f t="shared" si="3"/>
        <v>6600</v>
      </c>
      <c r="L50" s="4">
        <v>2000</v>
      </c>
      <c r="M50" s="4">
        <v>0</v>
      </c>
      <c r="N50" s="4">
        <f t="shared" si="4"/>
        <v>8600</v>
      </c>
      <c r="O50" s="4">
        <v>8600</v>
      </c>
      <c r="P50" s="4">
        <f t="shared" si="5"/>
        <v>0</v>
      </c>
      <c r="Q50" s="3" t="s">
        <v>305</v>
      </c>
      <c r="R50" s="3" t="s">
        <v>293</v>
      </c>
    </row>
    <row r="51" spans="1:18" ht="18" customHeight="1" x14ac:dyDescent="0.3">
      <c r="A51" s="6" t="s">
        <v>379</v>
      </c>
      <c r="B51" s="7" t="s">
        <v>179</v>
      </c>
      <c r="C51" s="12" t="s">
        <v>297</v>
      </c>
      <c r="D51" s="7" t="s">
        <v>75</v>
      </c>
      <c r="E51" s="12" t="s">
        <v>76</v>
      </c>
      <c r="F51" s="13">
        <v>45968</v>
      </c>
      <c r="G51" s="13">
        <v>45971</v>
      </c>
      <c r="H51" s="7">
        <v>3</v>
      </c>
      <c r="I51" s="7">
        <v>4</v>
      </c>
      <c r="J51" s="8">
        <v>18000</v>
      </c>
      <c r="K51" s="8">
        <f t="shared" si="3"/>
        <v>54000</v>
      </c>
      <c r="L51" s="8">
        <v>20000</v>
      </c>
      <c r="M51" s="8">
        <v>5000</v>
      </c>
      <c r="N51" s="8">
        <f t="shared" si="4"/>
        <v>69000</v>
      </c>
      <c r="O51" s="8">
        <v>69000</v>
      </c>
      <c r="P51" s="8">
        <f t="shared" si="5"/>
        <v>0</v>
      </c>
      <c r="Q51" s="7" t="s">
        <v>300</v>
      </c>
      <c r="R51" s="7" t="s">
        <v>293</v>
      </c>
    </row>
    <row r="52" spans="1:18" ht="18" customHeight="1" x14ac:dyDescent="0.3">
      <c r="A52" s="2" t="s">
        <v>380</v>
      </c>
      <c r="B52" s="3" t="s">
        <v>226</v>
      </c>
      <c r="C52" s="10" t="s">
        <v>338</v>
      </c>
      <c r="D52" s="3" t="s">
        <v>57</v>
      </c>
      <c r="E52" s="10" t="s">
        <v>41</v>
      </c>
      <c r="F52" s="11">
        <v>45975</v>
      </c>
      <c r="G52" s="11">
        <v>45978</v>
      </c>
      <c r="H52" s="3">
        <v>3</v>
      </c>
      <c r="I52" s="3">
        <v>4</v>
      </c>
      <c r="J52" s="4">
        <v>5000</v>
      </c>
      <c r="K52" s="4">
        <f t="shared" si="3"/>
        <v>15000</v>
      </c>
      <c r="L52" s="4">
        <v>5400</v>
      </c>
      <c r="M52" s="4">
        <v>800</v>
      </c>
      <c r="N52" s="4">
        <f t="shared" si="4"/>
        <v>19600</v>
      </c>
      <c r="O52" s="4">
        <v>0</v>
      </c>
      <c r="P52" s="4">
        <f t="shared" si="5"/>
        <v>19600</v>
      </c>
      <c r="Q52" s="3" t="s">
        <v>322</v>
      </c>
      <c r="R52" s="3" t="s">
        <v>293</v>
      </c>
    </row>
    <row r="53" spans="1:18" ht="18" customHeight="1" x14ac:dyDescent="0.3">
      <c r="A53" s="6" t="s">
        <v>381</v>
      </c>
      <c r="B53" s="7" t="s">
        <v>147</v>
      </c>
      <c r="C53" s="12" t="s">
        <v>314</v>
      </c>
      <c r="D53" s="7" t="s">
        <v>62</v>
      </c>
      <c r="E53" s="12" t="s">
        <v>34</v>
      </c>
      <c r="F53" s="13">
        <v>45982</v>
      </c>
      <c r="G53" s="13">
        <v>45986</v>
      </c>
      <c r="H53" s="7">
        <v>4</v>
      </c>
      <c r="I53" s="7">
        <v>2</v>
      </c>
      <c r="J53" s="8">
        <v>4500</v>
      </c>
      <c r="K53" s="8">
        <f t="shared" si="3"/>
        <v>18000</v>
      </c>
      <c r="L53" s="8">
        <v>4000</v>
      </c>
      <c r="M53" s="8">
        <v>0</v>
      </c>
      <c r="N53" s="8">
        <f t="shared" si="4"/>
        <v>22000</v>
      </c>
      <c r="O53" s="8">
        <v>0</v>
      </c>
      <c r="P53" s="8">
        <f t="shared" si="5"/>
        <v>22000</v>
      </c>
      <c r="Q53" s="7" t="s">
        <v>300</v>
      </c>
      <c r="R53" s="7" t="s">
        <v>293</v>
      </c>
    </row>
    <row r="54" spans="1:18" ht="18" customHeight="1" x14ac:dyDescent="0.3">
      <c r="A54" s="2" t="s">
        <v>382</v>
      </c>
      <c r="B54" s="3" t="s">
        <v>230</v>
      </c>
      <c r="C54" s="10" t="s">
        <v>307</v>
      </c>
      <c r="D54" s="3" t="s">
        <v>69</v>
      </c>
      <c r="E54" s="10" t="s">
        <v>70</v>
      </c>
      <c r="F54" s="11">
        <v>45989</v>
      </c>
      <c r="G54" s="11">
        <v>45992</v>
      </c>
      <c r="H54" s="3">
        <v>3</v>
      </c>
      <c r="I54" s="3">
        <v>2</v>
      </c>
      <c r="J54" s="4">
        <v>10500</v>
      </c>
      <c r="K54" s="4">
        <f t="shared" si="3"/>
        <v>31500</v>
      </c>
      <c r="L54" s="4">
        <v>0</v>
      </c>
      <c r="M54" s="4">
        <v>1500</v>
      </c>
      <c r="N54" s="4">
        <f t="shared" si="4"/>
        <v>30000</v>
      </c>
      <c r="O54" s="4">
        <v>30000</v>
      </c>
      <c r="P54" s="4">
        <f t="shared" si="5"/>
        <v>0</v>
      </c>
      <c r="Q54" s="3" t="s">
        <v>310</v>
      </c>
      <c r="R54" s="3" t="s">
        <v>293</v>
      </c>
    </row>
    <row r="55" spans="1:18" ht="18" customHeight="1" x14ac:dyDescent="0.3">
      <c r="A55" s="6" t="s">
        <v>383</v>
      </c>
      <c r="B55" s="7" t="s">
        <v>120</v>
      </c>
      <c r="C55" s="12" t="s">
        <v>291</v>
      </c>
      <c r="D55" s="7" t="s">
        <v>75</v>
      </c>
      <c r="E55" s="12" t="s">
        <v>76</v>
      </c>
      <c r="F55" s="13">
        <v>45996</v>
      </c>
      <c r="G55" s="13">
        <v>45999</v>
      </c>
      <c r="H55" s="7">
        <v>3</v>
      </c>
      <c r="I55" s="7">
        <v>2</v>
      </c>
      <c r="J55" s="8">
        <v>28000</v>
      </c>
      <c r="K55" s="8">
        <f t="shared" si="3"/>
        <v>84000</v>
      </c>
      <c r="L55" s="8">
        <v>15000</v>
      </c>
      <c r="M55" s="8">
        <v>5000</v>
      </c>
      <c r="N55" s="8">
        <f t="shared" si="4"/>
        <v>94000</v>
      </c>
      <c r="O55" s="8">
        <v>0</v>
      </c>
      <c r="P55" s="8">
        <f t="shared" si="5"/>
        <v>94000</v>
      </c>
      <c r="Q55" s="7" t="s">
        <v>305</v>
      </c>
      <c r="R55" s="7" t="s">
        <v>293</v>
      </c>
    </row>
    <row r="56" spans="1:18" ht="18" customHeight="1" x14ac:dyDescent="0.3">
      <c r="A56" s="2" t="s">
        <v>384</v>
      </c>
      <c r="B56" s="3" t="s">
        <v>259</v>
      </c>
      <c r="C56" s="10" t="s">
        <v>385</v>
      </c>
      <c r="D56" s="3" t="s">
        <v>45</v>
      </c>
      <c r="E56" s="10" t="s">
        <v>18</v>
      </c>
      <c r="F56" s="11">
        <v>46003</v>
      </c>
      <c r="G56" s="11">
        <v>46005</v>
      </c>
      <c r="H56" s="3">
        <v>2</v>
      </c>
      <c r="I56" s="3">
        <v>2</v>
      </c>
      <c r="J56" s="4">
        <v>3800</v>
      </c>
      <c r="K56" s="4">
        <f t="shared" si="3"/>
        <v>7600</v>
      </c>
      <c r="L56" s="4">
        <v>0</v>
      </c>
      <c r="M56" s="4">
        <v>0</v>
      </c>
      <c r="N56" s="4">
        <f t="shared" si="4"/>
        <v>7600</v>
      </c>
      <c r="O56" s="4">
        <v>7600</v>
      </c>
      <c r="P56" s="4">
        <f t="shared" si="5"/>
        <v>0</v>
      </c>
      <c r="Q56" s="3" t="s">
        <v>300</v>
      </c>
      <c r="R56" s="3" t="s">
        <v>293</v>
      </c>
    </row>
    <row r="57" spans="1:18" ht="18" customHeight="1" x14ac:dyDescent="0.3">
      <c r="A57" s="6" t="s">
        <v>386</v>
      </c>
      <c r="B57" s="7" t="s">
        <v>166</v>
      </c>
      <c r="C57" s="12" t="s">
        <v>312</v>
      </c>
      <c r="D57" s="7" t="s">
        <v>66</v>
      </c>
      <c r="E57" s="12" t="s">
        <v>54</v>
      </c>
      <c r="F57" s="13">
        <v>46010</v>
      </c>
      <c r="G57" s="13">
        <v>46013</v>
      </c>
      <c r="H57" s="7">
        <v>3</v>
      </c>
      <c r="I57" s="7">
        <v>2</v>
      </c>
      <c r="J57" s="8">
        <v>9800</v>
      </c>
      <c r="K57" s="8">
        <f t="shared" si="3"/>
        <v>29400</v>
      </c>
      <c r="L57" s="8">
        <v>8000</v>
      </c>
      <c r="M57" s="8">
        <v>2000</v>
      </c>
      <c r="N57" s="8">
        <f t="shared" si="4"/>
        <v>35400</v>
      </c>
      <c r="O57" s="8">
        <v>35400</v>
      </c>
      <c r="P57" s="8">
        <f t="shared" si="5"/>
        <v>0</v>
      </c>
      <c r="Q57" s="7" t="s">
        <v>292</v>
      </c>
      <c r="R57" s="7" t="s">
        <v>293</v>
      </c>
    </row>
    <row r="58" spans="1:18" ht="18" customHeight="1" x14ac:dyDescent="0.3">
      <c r="A58" s="2" t="s">
        <v>387</v>
      </c>
      <c r="B58" s="3" t="s">
        <v>157</v>
      </c>
      <c r="C58" s="10" t="s">
        <v>295</v>
      </c>
      <c r="D58" s="3" t="s">
        <v>75</v>
      </c>
      <c r="E58" s="10" t="s">
        <v>76</v>
      </c>
      <c r="F58" s="11">
        <v>46015</v>
      </c>
      <c r="G58" s="11">
        <v>46022</v>
      </c>
      <c r="H58" s="3">
        <v>7</v>
      </c>
      <c r="I58" s="3">
        <v>5</v>
      </c>
      <c r="J58" s="4">
        <v>28000</v>
      </c>
      <c r="K58" s="4">
        <f t="shared" si="3"/>
        <v>196000</v>
      </c>
      <c r="L58" s="4">
        <v>35000</v>
      </c>
      <c r="M58" s="4">
        <v>10000</v>
      </c>
      <c r="N58" s="4">
        <f t="shared" si="4"/>
        <v>221000</v>
      </c>
      <c r="O58" s="4">
        <v>221000</v>
      </c>
      <c r="P58" s="4">
        <f t="shared" si="5"/>
        <v>0</v>
      </c>
      <c r="Q58" s="3" t="s">
        <v>305</v>
      </c>
      <c r="R58" s="3" t="s">
        <v>293</v>
      </c>
    </row>
    <row r="59" spans="1:18" ht="18" customHeight="1" x14ac:dyDescent="0.3">
      <c r="A59" s="6" t="s">
        <v>388</v>
      </c>
      <c r="B59" s="7" t="s">
        <v>133</v>
      </c>
      <c r="C59" s="12" t="s">
        <v>309</v>
      </c>
      <c r="D59" s="7" t="s">
        <v>69</v>
      </c>
      <c r="E59" s="12" t="s">
        <v>70</v>
      </c>
      <c r="F59" s="13">
        <v>46015</v>
      </c>
      <c r="G59" s="13">
        <v>46018</v>
      </c>
      <c r="H59" s="7">
        <v>3</v>
      </c>
      <c r="I59" s="7">
        <v>2</v>
      </c>
      <c r="J59" s="8">
        <v>15000</v>
      </c>
      <c r="K59" s="8">
        <f t="shared" si="3"/>
        <v>45000</v>
      </c>
      <c r="L59" s="8">
        <v>10000</v>
      </c>
      <c r="M59" s="8">
        <v>3000</v>
      </c>
      <c r="N59" s="8">
        <f t="shared" si="4"/>
        <v>52000</v>
      </c>
      <c r="O59" s="8">
        <v>0</v>
      </c>
      <c r="P59" s="8">
        <f t="shared" si="5"/>
        <v>52000</v>
      </c>
      <c r="Q59" s="7" t="s">
        <v>305</v>
      </c>
      <c r="R59" s="7" t="s">
        <v>293</v>
      </c>
    </row>
    <row r="60" spans="1:18" ht="18" customHeight="1" x14ac:dyDescent="0.3">
      <c r="A60" s="2" t="s">
        <v>389</v>
      </c>
      <c r="B60" s="3" t="s">
        <v>217</v>
      </c>
      <c r="C60" s="10" t="s">
        <v>304</v>
      </c>
      <c r="D60" s="3" t="s">
        <v>53</v>
      </c>
      <c r="E60" s="10" t="s">
        <v>54</v>
      </c>
      <c r="F60" s="11">
        <v>46017</v>
      </c>
      <c r="G60" s="11">
        <v>46020</v>
      </c>
      <c r="H60" s="3">
        <v>3</v>
      </c>
      <c r="I60" s="3">
        <v>2</v>
      </c>
      <c r="J60" s="4">
        <v>9000</v>
      </c>
      <c r="K60" s="4">
        <f t="shared" si="3"/>
        <v>27000</v>
      </c>
      <c r="L60" s="4">
        <v>0</v>
      </c>
      <c r="M60" s="4">
        <v>1000</v>
      </c>
      <c r="N60" s="4">
        <f t="shared" si="4"/>
        <v>26000</v>
      </c>
      <c r="O60" s="4">
        <v>26000</v>
      </c>
      <c r="P60" s="4">
        <f t="shared" si="5"/>
        <v>0</v>
      </c>
      <c r="Q60" s="3" t="s">
        <v>310</v>
      </c>
      <c r="R60" s="3" t="s">
        <v>293</v>
      </c>
    </row>
    <row r="61" spans="1:18" ht="18" customHeight="1" x14ac:dyDescent="0.3">
      <c r="A61" s="6" t="s">
        <v>390</v>
      </c>
      <c r="B61" s="7" t="s">
        <v>179</v>
      </c>
      <c r="C61" s="12" t="s">
        <v>297</v>
      </c>
      <c r="D61" s="7" t="s">
        <v>87</v>
      </c>
      <c r="E61" s="12" t="s">
        <v>82</v>
      </c>
      <c r="F61" s="13">
        <v>46019</v>
      </c>
      <c r="G61" s="13">
        <v>46022</v>
      </c>
      <c r="H61" s="7">
        <v>3</v>
      </c>
      <c r="I61" s="7">
        <v>5</v>
      </c>
      <c r="J61" s="8">
        <v>10000</v>
      </c>
      <c r="K61" s="8">
        <f t="shared" si="3"/>
        <v>30000</v>
      </c>
      <c r="L61" s="8">
        <v>8000</v>
      </c>
      <c r="M61" s="8">
        <v>2000</v>
      </c>
      <c r="N61" s="8">
        <f t="shared" si="4"/>
        <v>36000</v>
      </c>
      <c r="O61" s="8">
        <v>36000</v>
      </c>
      <c r="P61" s="8">
        <f t="shared" si="5"/>
        <v>0</v>
      </c>
      <c r="Q61" s="7" t="s">
        <v>322</v>
      </c>
      <c r="R61" s="7" t="s">
        <v>293</v>
      </c>
    </row>
    <row r="62" spans="1:18" ht="18" customHeight="1" x14ac:dyDescent="0.3">
      <c r="A62" s="2" t="s">
        <v>391</v>
      </c>
      <c r="B62" s="3" t="s">
        <v>243</v>
      </c>
      <c r="C62" s="10" t="s">
        <v>328</v>
      </c>
      <c r="D62" s="3" t="s">
        <v>75</v>
      </c>
      <c r="E62" s="10" t="s">
        <v>76</v>
      </c>
      <c r="F62" s="11">
        <v>46024</v>
      </c>
      <c r="G62" s="11">
        <v>46027</v>
      </c>
      <c r="H62" s="3">
        <v>3</v>
      </c>
      <c r="I62" s="3">
        <v>4</v>
      </c>
      <c r="J62" s="4">
        <v>18000</v>
      </c>
      <c r="K62" s="4">
        <f t="shared" si="3"/>
        <v>54000</v>
      </c>
      <c r="L62" s="4">
        <v>12000</v>
      </c>
      <c r="M62" s="4">
        <v>3000</v>
      </c>
      <c r="N62" s="4">
        <f t="shared" si="4"/>
        <v>63000</v>
      </c>
      <c r="O62" s="4">
        <v>63000</v>
      </c>
      <c r="P62" s="4">
        <f t="shared" si="5"/>
        <v>0</v>
      </c>
      <c r="Q62" s="3" t="s">
        <v>292</v>
      </c>
      <c r="R62" s="3" t="s">
        <v>355</v>
      </c>
    </row>
    <row r="63" spans="1:18" ht="18" customHeight="1" x14ac:dyDescent="0.3">
      <c r="A63" s="6" t="s">
        <v>392</v>
      </c>
      <c r="B63" s="7" t="s">
        <v>230</v>
      </c>
      <c r="C63" s="12" t="s">
        <v>307</v>
      </c>
      <c r="D63" s="7" t="s">
        <v>69</v>
      </c>
      <c r="E63" s="12" t="s">
        <v>70</v>
      </c>
      <c r="F63" s="13">
        <v>46031</v>
      </c>
      <c r="G63" s="13">
        <v>46034</v>
      </c>
      <c r="H63" s="7">
        <v>3</v>
      </c>
      <c r="I63" s="7">
        <v>2</v>
      </c>
      <c r="J63" s="8">
        <v>10500</v>
      </c>
      <c r="K63" s="8">
        <f t="shared" si="3"/>
        <v>31500</v>
      </c>
      <c r="L63" s="8">
        <v>8000</v>
      </c>
      <c r="M63" s="8">
        <v>2000</v>
      </c>
      <c r="N63" s="8">
        <f t="shared" si="4"/>
        <v>37500</v>
      </c>
      <c r="O63" s="8">
        <v>26200</v>
      </c>
      <c r="P63" s="8">
        <f t="shared" si="5"/>
        <v>11300</v>
      </c>
      <c r="Q63" s="7" t="s">
        <v>292</v>
      </c>
      <c r="R63" s="7" t="s">
        <v>293</v>
      </c>
    </row>
    <row r="64" spans="1:18" ht="18" customHeight="1" x14ac:dyDescent="0.3">
      <c r="A64" s="2" t="s">
        <v>393</v>
      </c>
      <c r="B64" s="3" t="s">
        <v>196</v>
      </c>
      <c r="C64" s="10" t="s">
        <v>321</v>
      </c>
      <c r="D64" s="3" t="s">
        <v>66</v>
      </c>
      <c r="E64" s="10" t="s">
        <v>54</v>
      </c>
      <c r="F64" s="11">
        <v>46038</v>
      </c>
      <c r="G64" s="11">
        <v>46041</v>
      </c>
      <c r="H64" s="3">
        <v>3</v>
      </c>
      <c r="I64" s="3">
        <v>2</v>
      </c>
      <c r="J64" s="4">
        <v>7200</v>
      </c>
      <c r="K64" s="4">
        <f t="shared" si="3"/>
        <v>21600</v>
      </c>
      <c r="L64" s="4">
        <v>3000</v>
      </c>
      <c r="M64" s="4">
        <v>500</v>
      </c>
      <c r="N64" s="4">
        <f t="shared" si="4"/>
        <v>24100</v>
      </c>
      <c r="O64" s="4">
        <v>24100</v>
      </c>
      <c r="P64" s="4">
        <f t="shared" si="5"/>
        <v>0</v>
      </c>
      <c r="Q64" s="3" t="s">
        <v>322</v>
      </c>
      <c r="R64" s="3" t="s">
        <v>293</v>
      </c>
    </row>
    <row r="65" spans="1:18" ht="18" customHeight="1" x14ac:dyDescent="0.3">
      <c r="A65" s="6" t="s">
        <v>394</v>
      </c>
      <c r="B65" s="7" t="s">
        <v>143</v>
      </c>
      <c r="C65" s="12" t="s">
        <v>319</v>
      </c>
      <c r="D65" s="7" t="s">
        <v>40</v>
      </c>
      <c r="E65" s="12" t="s">
        <v>41</v>
      </c>
      <c r="F65" s="13">
        <v>46045</v>
      </c>
      <c r="G65" s="13">
        <v>46048</v>
      </c>
      <c r="H65" s="7">
        <v>3</v>
      </c>
      <c r="I65" s="7">
        <v>4</v>
      </c>
      <c r="J65" s="8">
        <v>4500</v>
      </c>
      <c r="K65" s="8">
        <f t="shared" si="3"/>
        <v>13500</v>
      </c>
      <c r="L65" s="8">
        <v>5400</v>
      </c>
      <c r="M65" s="8">
        <v>800</v>
      </c>
      <c r="N65" s="8">
        <f t="shared" si="4"/>
        <v>18100</v>
      </c>
      <c r="O65" s="8">
        <v>9000</v>
      </c>
      <c r="P65" s="8">
        <f t="shared" si="5"/>
        <v>9100</v>
      </c>
      <c r="Q65" s="7" t="s">
        <v>322</v>
      </c>
      <c r="R65" s="7" t="s">
        <v>293</v>
      </c>
    </row>
    <row r="66" spans="1:18" ht="18" customHeight="1" x14ac:dyDescent="0.3">
      <c r="A66" s="2" t="s">
        <v>395</v>
      </c>
      <c r="B66" s="3" t="s">
        <v>267</v>
      </c>
      <c r="C66" s="10" t="s">
        <v>345</v>
      </c>
      <c r="D66" s="3" t="s">
        <v>48</v>
      </c>
      <c r="E66" s="10" t="s">
        <v>34</v>
      </c>
      <c r="F66" s="11">
        <v>46052</v>
      </c>
      <c r="G66" s="11">
        <v>46055</v>
      </c>
      <c r="H66" s="3">
        <v>3</v>
      </c>
      <c r="I66" s="3">
        <v>2</v>
      </c>
      <c r="J66" s="4">
        <v>4000</v>
      </c>
      <c r="K66" s="4">
        <f t="shared" si="3"/>
        <v>12000</v>
      </c>
      <c r="L66" s="4">
        <v>1800</v>
      </c>
      <c r="M66" s="4">
        <v>0</v>
      </c>
      <c r="N66" s="4">
        <f t="shared" si="4"/>
        <v>13800</v>
      </c>
      <c r="O66" s="4">
        <v>13800</v>
      </c>
      <c r="P66" s="4">
        <f t="shared" si="5"/>
        <v>0</v>
      </c>
      <c r="Q66" s="3" t="s">
        <v>305</v>
      </c>
      <c r="R66" s="3" t="s">
        <v>293</v>
      </c>
    </row>
    <row r="67" spans="1:18" ht="18" customHeight="1" x14ac:dyDescent="0.3">
      <c r="A67" s="6" t="s">
        <v>396</v>
      </c>
      <c r="B67" s="7" t="s">
        <v>120</v>
      </c>
      <c r="C67" s="12" t="s">
        <v>291</v>
      </c>
      <c r="D67" s="7" t="s">
        <v>53</v>
      </c>
      <c r="E67" s="12" t="s">
        <v>54</v>
      </c>
      <c r="F67" s="13">
        <v>46059</v>
      </c>
      <c r="G67" s="13">
        <v>46062</v>
      </c>
      <c r="H67" s="7">
        <v>3</v>
      </c>
      <c r="I67" s="7">
        <v>2</v>
      </c>
      <c r="J67" s="8">
        <v>7500</v>
      </c>
      <c r="K67" s="8">
        <f t="shared" si="3"/>
        <v>22500</v>
      </c>
      <c r="L67" s="8">
        <v>5000</v>
      </c>
      <c r="M67" s="8">
        <v>1000</v>
      </c>
      <c r="N67" s="8">
        <f t="shared" si="4"/>
        <v>26500</v>
      </c>
      <c r="O67" s="8">
        <v>0</v>
      </c>
      <c r="P67" s="8">
        <f t="shared" si="5"/>
        <v>26500</v>
      </c>
      <c r="Q67" s="7" t="s">
        <v>322</v>
      </c>
      <c r="R67" s="7" t="s">
        <v>293</v>
      </c>
    </row>
    <row r="68" spans="1:18" ht="18" customHeight="1" x14ac:dyDescent="0.3">
      <c r="A68" s="2" t="s">
        <v>397</v>
      </c>
      <c r="B68" s="3" t="s">
        <v>157</v>
      </c>
      <c r="C68" s="10" t="s">
        <v>295</v>
      </c>
      <c r="D68" s="3" t="s">
        <v>75</v>
      </c>
      <c r="E68" s="10" t="s">
        <v>76</v>
      </c>
      <c r="F68" s="11">
        <v>46066</v>
      </c>
      <c r="G68" s="11">
        <v>46070</v>
      </c>
      <c r="H68" s="3">
        <v>4</v>
      </c>
      <c r="I68" s="3">
        <v>3</v>
      </c>
      <c r="J68" s="4">
        <v>22000</v>
      </c>
      <c r="K68" s="4">
        <f t="shared" ref="K68:K83" si="6">J68*H68</f>
        <v>88000</v>
      </c>
      <c r="L68" s="4">
        <v>15000</v>
      </c>
      <c r="M68" s="4">
        <v>4000</v>
      </c>
      <c r="N68" s="4">
        <f t="shared" ref="N68:N83" si="7">K68+L68-M68</f>
        <v>99000</v>
      </c>
      <c r="O68" s="4">
        <v>79200</v>
      </c>
      <c r="P68" s="4">
        <f t="shared" ref="P68:P83" si="8">N68-O68</f>
        <v>19800</v>
      </c>
      <c r="Q68" s="3" t="s">
        <v>310</v>
      </c>
      <c r="R68" s="3" t="s">
        <v>293</v>
      </c>
    </row>
    <row r="69" spans="1:18" ht="18" customHeight="1" x14ac:dyDescent="0.3">
      <c r="A69" s="6" t="s">
        <v>398</v>
      </c>
      <c r="B69" s="7" t="s">
        <v>166</v>
      </c>
      <c r="C69" s="12" t="s">
        <v>312</v>
      </c>
      <c r="D69" s="7" t="s">
        <v>69</v>
      </c>
      <c r="E69" s="12" t="s">
        <v>70</v>
      </c>
      <c r="F69" s="13">
        <v>46073</v>
      </c>
      <c r="G69" s="13">
        <v>46076</v>
      </c>
      <c r="H69" s="7">
        <v>3</v>
      </c>
      <c r="I69" s="7">
        <v>2</v>
      </c>
      <c r="J69" s="8">
        <v>12000</v>
      </c>
      <c r="K69" s="8">
        <f t="shared" si="6"/>
        <v>36000</v>
      </c>
      <c r="L69" s="8">
        <v>0</v>
      </c>
      <c r="M69" s="8">
        <v>1500</v>
      </c>
      <c r="N69" s="8">
        <f t="shared" si="7"/>
        <v>34500</v>
      </c>
      <c r="O69" s="8">
        <v>34500</v>
      </c>
      <c r="P69" s="8">
        <f t="shared" si="8"/>
        <v>0</v>
      </c>
      <c r="Q69" s="7" t="s">
        <v>310</v>
      </c>
      <c r="R69" s="7" t="s">
        <v>293</v>
      </c>
    </row>
    <row r="70" spans="1:18" ht="18" customHeight="1" x14ac:dyDescent="0.3">
      <c r="A70" s="2" t="s">
        <v>399</v>
      </c>
      <c r="B70" s="3" t="s">
        <v>221</v>
      </c>
      <c r="C70" s="10" t="s">
        <v>341</v>
      </c>
      <c r="D70" s="3" t="s">
        <v>62</v>
      </c>
      <c r="E70" s="10" t="s">
        <v>34</v>
      </c>
      <c r="F70" s="11">
        <v>46080</v>
      </c>
      <c r="G70" s="11">
        <v>46084</v>
      </c>
      <c r="H70" s="3">
        <v>4</v>
      </c>
      <c r="I70" s="3">
        <v>2</v>
      </c>
      <c r="J70" s="4">
        <v>5200</v>
      </c>
      <c r="K70" s="4">
        <f t="shared" si="6"/>
        <v>20800</v>
      </c>
      <c r="L70" s="4">
        <v>5000</v>
      </c>
      <c r="M70" s="4">
        <v>0</v>
      </c>
      <c r="N70" s="4">
        <f t="shared" si="7"/>
        <v>25800</v>
      </c>
      <c r="O70" s="4">
        <v>0</v>
      </c>
      <c r="P70" s="4">
        <f t="shared" si="8"/>
        <v>25800</v>
      </c>
      <c r="Q70" s="3" t="s">
        <v>310</v>
      </c>
      <c r="R70" s="3" t="s">
        <v>293</v>
      </c>
    </row>
    <row r="71" spans="1:18" ht="18" customHeight="1" x14ac:dyDescent="0.3">
      <c r="A71" s="6" t="s">
        <v>400</v>
      </c>
      <c r="B71" s="7" t="s">
        <v>247</v>
      </c>
      <c r="C71" s="12" t="s">
        <v>343</v>
      </c>
      <c r="D71" s="7" t="s">
        <v>86</v>
      </c>
      <c r="E71" s="12" t="s">
        <v>82</v>
      </c>
      <c r="F71" s="13">
        <v>46087</v>
      </c>
      <c r="G71" s="13">
        <v>46090</v>
      </c>
      <c r="H71" s="7">
        <v>3</v>
      </c>
      <c r="I71" s="7">
        <v>3</v>
      </c>
      <c r="J71" s="8">
        <v>5500</v>
      </c>
      <c r="K71" s="8">
        <f t="shared" si="6"/>
        <v>16500</v>
      </c>
      <c r="L71" s="8">
        <v>2000</v>
      </c>
      <c r="M71" s="8">
        <v>0</v>
      </c>
      <c r="N71" s="8">
        <f t="shared" si="7"/>
        <v>18500</v>
      </c>
      <c r="O71" s="8">
        <v>18500</v>
      </c>
      <c r="P71" s="8">
        <f t="shared" si="8"/>
        <v>0</v>
      </c>
      <c r="Q71" s="7" t="s">
        <v>322</v>
      </c>
      <c r="R71" s="7" t="s">
        <v>355</v>
      </c>
    </row>
    <row r="72" spans="1:18" ht="18" customHeight="1" x14ac:dyDescent="0.3">
      <c r="A72" s="2" t="s">
        <v>401</v>
      </c>
      <c r="B72" s="3" t="s">
        <v>217</v>
      </c>
      <c r="C72" s="10" t="s">
        <v>304</v>
      </c>
      <c r="D72" s="3" t="s">
        <v>75</v>
      </c>
      <c r="E72" s="10" t="s">
        <v>76</v>
      </c>
      <c r="F72" s="11">
        <v>46094</v>
      </c>
      <c r="G72" s="11">
        <v>46097</v>
      </c>
      <c r="H72" s="3">
        <v>3</v>
      </c>
      <c r="I72" s="3">
        <v>3</v>
      </c>
      <c r="J72" s="4">
        <v>18000</v>
      </c>
      <c r="K72" s="4">
        <f t="shared" si="6"/>
        <v>54000</v>
      </c>
      <c r="L72" s="4">
        <v>10000</v>
      </c>
      <c r="M72" s="4">
        <v>2000</v>
      </c>
      <c r="N72" s="4">
        <f t="shared" si="7"/>
        <v>62000</v>
      </c>
      <c r="O72" s="4">
        <v>49600</v>
      </c>
      <c r="P72" s="4">
        <f t="shared" si="8"/>
        <v>12400</v>
      </c>
      <c r="Q72" s="3" t="s">
        <v>305</v>
      </c>
      <c r="R72" s="3" t="s">
        <v>355</v>
      </c>
    </row>
    <row r="73" spans="1:18" ht="18" customHeight="1" x14ac:dyDescent="0.3">
      <c r="A73" s="6" t="s">
        <v>402</v>
      </c>
      <c r="B73" s="7" t="s">
        <v>255</v>
      </c>
      <c r="C73" s="12" t="s">
        <v>324</v>
      </c>
      <c r="D73" s="7" t="s">
        <v>53</v>
      </c>
      <c r="E73" s="12" t="s">
        <v>54</v>
      </c>
      <c r="F73" s="13">
        <v>46101</v>
      </c>
      <c r="G73" s="13">
        <v>46104</v>
      </c>
      <c r="H73" s="7">
        <v>3</v>
      </c>
      <c r="I73" s="7">
        <v>2</v>
      </c>
      <c r="J73" s="8">
        <v>6500</v>
      </c>
      <c r="K73" s="8">
        <f t="shared" si="6"/>
        <v>19500</v>
      </c>
      <c r="L73" s="8">
        <v>0</v>
      </c>
      <c r="M73" s="8">
        <v>500</v>
      </c>
      <c r="N73" s="8">
        <f t="shared" si="7"/>
        <v>19000</v>
      </c>
      <c r="O73" s="8">
        <v>19000</v>
      </c>
      <c r="P73" s="8">
        <f t="shared" si="8"/>
        <v>0</v>
      </c>
      <c r="Q73" s="7" t="s">
        <v>322</v>
      </c>
      <c r="R73" s="7" t="s">
        <v>293</v>
      </c>
    </row>
    <row r="74" spans="1:18" ht="18" customHeight="1" x14ac:dyDescent="0.3">
      <c r="A74" s="2" t="s">
        <v>403</v>
      </c>
      <c r="B74" s="3" t="s">
        <v>230</v>
      </c>
      <c r="C74" s="10" t="s">
        <v>307</v>
      </c>
      <c r="D74" s="3" t="s">
        <v>69</v>
      </c>
      <c r="E74" s="10" t="s">
        <v>70</v>
      </c>
      <c r="F74" s="11">
        <v>46108</v>
      </c>
      <c r="G74" s="11">
        <v>46111</v>
      </c>
      <c r="H74" s="3">
        <v>3</v>
      </c>
      <c r="I74" s="3">
        <v>2</v>
      </c>
      <c r="J74" s="4">
        <v>10500</v>
      </c>
      <c r="K74" s="4">
        <f t="shared" si="6"/>
        <v>31500</v>
      </c>
      <c r="L74" s="4">
        <v>8000</v>
      </c>
      <c r="M74" s="4">
        <v>2000</v>
      </c>
      <c r="N74" s="4">
        <f t="shared" si="7"/>
        <v>37500</v>
      </c>
      <c r="O74" s="4">
        <v>37500</v>
      </c>
      <c r="P74" s="4">
        <f t="shared" si="8"/>
        <v>0</v>
      </c>
      <c r="Q74" s="3" t="s">
        <v>305</v>
      </c>
      <c r="R74" s="3" t="s">
        <v>293</v>
      </c>
    </row>
    <row r="75" spans="1:18" ht="18" customHeight="1" x14ac:dyDescent="0.3">
      <c r="A75" s="6" t="s">
        <v>404</v>
      </c>
      <c r="B75" s="7" t="s">
        <v>133</v>
      </c>
      <c r="C75" s="12" t="s">
        <v>309</v>
      </c>
      <c r="D75" s="7" t="s">
        <v>66</v>
      </c>
      <c r="E75" s="12" t="s">
        <v>54</v>
      </c>
      <c r="F75" s="13">
        <v>46115</v>
      </c>
      <c r="G75" s="13">
        <v>46118</v>
      </c>
      <c r="H75" s="7">
        <v>3</v>
      </c>
      <c r="I75" s="7">
        <v>2</v>
      </c>
      <c r="J75" s="8">
        <v>9800</v>
      </c>
      <c r="K75" s="8">
        <f t="shared" si="6"/>
        <v>29400</v>
      </c>
      <c r="L75" s="8">
        <v>4800</v>
      </c>
      <c r="M75" s="8">
        <v>1500</v>
      </c>
      <c r="N75" s="8">
        <f t="shared" si="7"/>
        <v>32700</v>
      </c>
      <c r="O75" s="8">
        <v>32700</v>
      </c>
      <c r="P75" s="8">
        <f t="shared" si="8"/>
        <v>0</v>
      </c>
      <c r="Q75" s="7" t="s">
        <v>322</v>
      </c>
      <c r="R75" s="7" t="s">
        <v>293</v>
      </c>
    </row>
    <row r="76" spans="1:18" ht="18" customHeight="1" x14ac:dyDescent="0.3">
      <c r="A76" s="2" t="s">
        <v>405</v>
      </c>
      <c r="B76" s="3" t="s">
        <v>179</v>
      </c>
      <c r="C76" s="10" t="s">
        <v>297</v>
      </c>
      <c r="D76" s="3" t="s">
        <v>75</v>
      </c>
      <c r="E76" s="10" t="s">
        <v>76</v>
      </c>
      <c r="F76" s="11">
        <v>46122</v>
      </c>
      <c r="G76" s="11">
        <v>46126</v>
      </c>
      <c r="H76" s="3">
        <v>4</v>
      </c>
      <c r="I76" s="3">
        <v>4</v>
      </c>
      <c r="J76" s="4">
        <v>28000</v>
      </c>
      <c r="K76" s="4">
        <f t="shared" si="6"/>
        <v>112000</v>
      </c>
      <c r="L76" s="4">
        <v>25000</v>
      </c>
      <c r="M76" s="4">
        <v>5000</v>
      </c>
      <c r="N76" s="4">
        <f t="shared" si="7"/>
        <v>132000</v>
      </c>
      <c r="O76" s="4">
        <v>132000</v>
      </c>
      <c r="P76" s="4">
        <f t="shared" si="8"/>
        <v>0</v>
      </c>
      <c r="Q76" s="3" t="s">
        <v>322</v>
      </c>
      <c r="R76" s="3" t="s">
        <v>293</v>
      </c>
    </row>
    <row r="77" spans="1:18" ht="18" customHeight="1" x14ac:dyDescent="0.3">
      <c r="A77" s="6" t="s">
        <v>406</v>
      </c>
      <c r="B77" s="7" t="s">
        <v>187</v>
      </c>
      <c r="C77" s="12" t="s">
        <v>363</v>
      </c>
      <c r="D77" s="7" t="s">
        <v>57</v>
      </c>
      <c r="E77" s="12" t="s">
        <v>41</v>
      </c>
      <c r="F77" s="13">
        <v>46129</v>
      </c>
      <c r="G77" s="13">
        <v>46132</v>
      </c>
      <c r="H77" s="7">
        <v>3</v>
      </c>
      <c r="I77" s="7">
        <v>4</v>
      </c>
      <c r="J77" s="8">
        <v>7000</v>
      </c>
      <c r="K77" s="8">
        <f t="shared" si="6"/>
        <v>21000</v>
      </c>
      <c r="L77" s="8">
        <v>5400</v>
      </c>
      <c r="M77" s="8">
        <v>800</v>
      </c>
      <c r="N77" s="8">
        <f t="shared" si="7"/>
        <v>25600</v>
      </c>
      <c r="O77" s="8">
        <v>12800</v>
      </c>
      <c r="P77" s="8">
        <f t="shared" si="8"/>
        <v>12800</v>
      </c>
      <c r="Q77" s="7" t="s">
        <v>292</v>
      </c>
      <c r="R77" s="7" t="s">
        <v>293</v>
      </c>
    </row>
    <row r="78" spans="1:18" ht="18" customHeight="1" x14ac:dyDescent="0.3">
      <c r="A78" s="2" t="s">
        <v>407</v>
      </c>
      <c r="B78" s="3" t="s">
        <v>243</v>
      </c>
      <c r="C78" s="10" t="s">
        <v>328</v>
      </c>
      <c r="D78" s="3" t="s">
        <v>87</v>
      </c>
      <c r="E78" s="10" t="s">
        <v>82</v>
      </c>
      <c r="F78" s="11">
        <v>46136</v>
      </c>
      <c r="G78" s="11">
        <v>46139</v>
      </c>
      <c r="H78" s="3">
        <v>3</v>
      </c>
      <c r="I78" s="3">
        <v>5</v>
      </c>
      <c r="J78" s="4">
        <v>10000</v>
      </c>
      <c r="K78" s="4">
        <f t="shared" si="6"/>
        <v>30000</v>
      </c>
      <c r="L78" s="4">
        <v>5000</v>
      </c>
      <c r="M78" s="4">
        <v>1000</v>
      </c>
      <c r="N78" s="4">
        <f t="shared" si="7"/>
        <v>34000</v>
      </c>
      <c r="O78" s="4">
        <v>34000</v>
      </c>
      <c r="P78" s="4">
        <f t="shared" si="8"/>
        <v>0</v>
      </c>
      <c r="Q78" s="3" t="s">
        <v>310</v>
      </c>
      <c r="R78" s="3" t="s">
        <v>408</v>
      </c>
    </row>
    <row r="79" spans="1:18" ht="18" customHeight="1" x14ac:dyDescent="0.3">
      <c r="A79" s="6" t="s">
        <v>409</v>
      </c>
      <c r="B79" s="7" t="s">
        <v>205</v>
      </c>
      <c r="C79" s="12" t="s">
        <v>332</v>
      </c>
      <c r="D79" s="7" t="s">
        <v>47</v>
      </c>
      <c r="E79" s="12" t="s">
        <v>18</v>
      </c>
      <c r="F79" s="13">
        <v>46143</v>
      </c>
      <c r="G79" s="13">
        <v>46146</v>
      </c>
      <c r="H79" s="7">
        <v>3</v>
      </c>
      <c r="I79" s="7">
        <v>2</v>
      </c>
      <c r="J79" s="8">
        <v>2800</v>
      </c>
      <c r="K79" s="8">
        <f t="shared" si="6"/>
        <v>8400</v>
      </c>
      <c r="L79" s="8">
        <v>1200</v>
      </c>
      <c r="M79" s="8">
        <v>0</v>
      </c>
      <c r="N79" s="8">
        <f t="shared" si="7"/>
        <v>9600</v>
      </c>
      <c r="O79" s="8">
        <v>0</v>
      </c>
      <c r="P79" s="8">
        <f t="shared" si="8"/>
        <v>9600</v>
      </c>
      <c r="Q79" s="7" t="s">
        <v>300</v>
      </c>
      <c r="R79" s="7" t="s">
        <v>408</v>
      </c>
    </row>
    <row r="80" spans="1:18" ht="18" customHeight="1" x14ac:dyDescent="0.3">
      <c r="A80" s="2" t="s">
        <v>410</v>
      </c>
      <c r="B80" s="3" t="s">
        <v>157</v>
      </c>
      <c r="C80" s="10" t="s">
        <v>295</v>
      </c>
      <c r="D80" s="3" t="s">
        <v>75</v>
      </c>
      <c r="E80" s="10" t="s">
        <v>76</v>
      </c>
      <c r="F80" s="11">
        <v>46150</v>
      </c>
      <c r="G80" s="11">
        <v>46154</v>
      </c>
      <c r="H80" s="3">
        <v>4</v>
      </c>
      <c r="I80" s="3">
        <v>6</v>
      </c>
      <c r="J80" s="4">
        <v>18000</v>
      </c>
      <c r="K80" s="4">
        <f t="shared" si="6"/>
        <v>72000</v>
      </c>
      <c r="L80" s="4">
        <v>30000</v>
      </c>
      <c r="M80" s="4">
        <v>6000</v>
      </c>
      <c r="N80" s="4">
        <f t="shared" si="7"/>
        <v>96000</v>
      </c>
      <c r="O80" s="4">
        <v>67200</v>
      </c>
      <c r="P80" s="4">
        <f t="shared" si="8"/>
        <v>28800</v>
      </c>
      <c r="Q80" s="3" t="s">
        <v>292</v>
      </c>
      <c r="R80" s="3" t="s">
        <v>408</v>
      </c>
    </row>
    <row r="81" spans="1:18" ht="18" customHeight="1" x14ac:dyDescent="0.3">
      <c r="A81" s="6" t="s">
        <v>411</v>
      </c>
      <c r="B81" s="7" t="s">
        <v>196</v>
      </c>
      <c r="C81" s="12" t="s">
        <v>321</v>
      </c>
      <c r="D81" s="7" t="s">
        <v>69</v>
      </c>
      <c r="E81" s="12" t="s">
        <v>70</v>
      </c>
      <c r="F81" s="13">
        <v>46157</v>
      </c>
      <c r="G81" s="13">
        <v>46160</v>
      </c>
      <c r="H81" s="7">
        <v>3</v>
      </c>
      <c r="I81" s="7">
        <v>2</v>
      </c>
      <c r="J81" s="8">
        <v>10500</v>
      </c>
      <c r="K81" s="8">
        <f t="shared" si="6"/>
        <v>31500</v>
      </c>
      <c r="L81" s="8">
        <v>8000</v>
      </c>
      <c r="M81" s="8">
        <v>2000</v>
      </c>
      <c r="N81" s="8">
        <f t="shared" si="7"/>
        <v>37500</v>
      </c>
      <c r="O81" s="8">
        <v>37500</v>
      </c>
      <c r="P81" s="8">
        <f t="shared" si="8"/>
        <v>0</v>
      </c>
      <c r="Q81" s="7" t="s">
        <v>300</v>
      </c>
      <c r="R81" s="7" t="s">
        <v>408</v>
      </c>
    </row>
    <row r="82" spans="1:18" ht="18" customHeight="1" x14ac:dyDescent="0.3">
      <c r="A82" s="2" t="s">
        <v>412</v>
      </c>
      <c r="B82" s="3" t="s">
        <v>120</v>
      </c>
      <c r="C82" s="10" t="s">
        <v>291</v>
      </c>
      <c r="D82" s="3" t="s">
        <v>87</v>
      </c>
      <c r="E82" s="10" t="s">
        <v>82</v>
      </c>
      <c r="F82" s="11">
        <v>46164</v>
      </c>
      <c r="G82" s="11">
        <v>46167</v>
      </c>
      <c r="H82" s="3">
        <v>3</v>
      </c>
      <c r="I82" s="3">
        <v>4</v>
      </c>
      <c r="J82" s="4">
        <v>7000</v>
      </c>
      <c r="K82" s="4">
        <f t="shared" si="6"/>
        <v>21000</v>
      </c>
      <c r="L82" s="4">
        <v>4000</v>
      </c>
      <c r="M82" s="4">
        <v>1000</v>
      </c>
      <c r="N82" s="4">
        <f t="shared" si="7"/>
        <v>24000</v>
      </c>
      <c r="O82" s="4">
        <v>24000</v>
      </c>
      <c r="P82" s="4">
        <f t="shared" si="8"/>
        <v>0</v>
      </c>
      <c r="Q82" s="3" t="s">
        <v>317</v>
      </c>
      <c r="R82" s="3" t="s">
        <v>408</v>
      </c>
    </row>
    <row r="83" spans="1:18" ht="18" customHeight="1" x14ac:dyDescent="0.3">
      <c r="A83" s="6" t="s">
        <v>413</v>
      </c>
      <c r="B83" s="7" t="s">
        <v>166</v>
      </c>
      <c r="C83" s="12" t="s">
        <v>312</v>
      </c>
      <c r="D83" s="7" t="s">
        <v>75</v>
      </c>
      <c r="E83" s="12" t="s">
        <v>76</v>
      </c>
      <c r="F83" s="13">
        <v>46171</v>
      </c>
      <c r="G83" s="13">
        <v>46174</v>
      </c>
      <c r="H83" s="7">
        <v>3</v>
      </c>
      <c r="I83" s="7">
        <v>3</v>
      </c>
      <c r="J83" s="8">
        <v>18000</v>
      </c>
      <c r="K83" s="8">
        <f t="shared" si="6"/>
        <v>54000</v>
      </c>
      <c r="L83" s="8">
        <v>12000</v>
      </c>
      <c r="M83" s="8">
        <v>3000</v>
      </c>
      <c r="N83" s="8">
        <f t="shared" si="7"/>
        <v>63000</v>
      </c>
      <c r="O83" s="8">
        <v>63000</v>
      </c>
      <c r="P83" s="8">
        <f t="shared" si="8"/>
        <v>0</v>
      </c>
      <c r="Q83" s="7" t="s">
        <v>300</v>
      </c>
      <c r="R83" s="7" t="s">
        <v>408</v>
      </c>
    </row>
  </sheetData>
  <autoFilter ref="A3:R83"/>
  <mergeCells count="2">
    <mergeCell ref="A1:R1"/>
    <mergeCell ref="A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369A1"/>
  </sheetPr>
  <dimension ref="A1:L34"/>
  <sheetViews>
    <sheetView showGridLines="0" zoomScaleNormal="100" workbookViewId="0">
      <pane ySplit="3" topLeftCell="A4" activePane="bottomLeft" state="frozen"/>
      <selection pane="bottomLeft" sqref="A1:L1"/>
    </sheetView>
  </sheetViews>
  <sheetFormatPr defaultColWidth="8.6640625" defaultRowHeight="14.4" x14ac:dyDescent="0.3"/>
  <cols>
    <col min="1" max="1" width="10" customWidth="1"/>
    <col min="2" max="2" width="18" customWidth="1"/>
    <col min="3" max="3" width="7" customWidth="1"/>
    <col min="4" max="4" width="18" customWidth="1"/>
    <col min="5" max="5" width="14" customWidth="1"/>
    <col min="6" max="6" width="18" customWidth="1"/>
    <col min="7" max="7" width="13" customWidth="1"/>
    <col min="8" max="8" width="18" customWidth="1"/>
    <col min="9" max="9" width="16" customWidth="1"/>
    <col min="10" max="10" width="35" customWidth="1"/>
    <col min="11" max="11" width="11" customWidth="1"/>
    <col min="12" max="12" width="13" customWidth="1"/>
  </cols>
  <sheetData>
    <row r="1" spans="1:12" ht="42" customHeight="1" x14ac:dyDescent="0.3">
      <c r="A1" s="26" t="s">
        <v>414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</row>
    <row r="2" spans="1:12" ht="19.5" customHeight="1" x14ac:dyDescent="0.3">
      <c r="A2" s="27" t="s">
        <v>415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27.75" customHeight="1" x14ac:dyDescent="0.3">
      <c r="A3" s="1" t="s">
        <v>2</v>
      </c>
      <c r="B3" s="1" t="s">
        <v>4</v>
      </c>
      <c r="C3" s="1" t="s">
        <v>3</v>
      </c>
      <c r="D3" s="1" t="s">
        <v>416</v>
      </c>
      <c r="E3" s="1" t="s">
        <v>417</v>
      </c>
      <c r="F3" s="1" t="s">
        <v>418</v>
      </c>
      <c r="G3" s="1" t="s">
        <v>419</v>
      </c>
      <c r="H3" s="1" t="s">
        <v>420</v>
      </c>
      <c r="I3" s="1" t="s">
        <v>421</v>
      </c>
      <c r="J3" s="1" t="s">
        <v>422</v>
      </c>
      <c r="K3" s="1" t="s">
        <v>423</v>
      </c>
      <c r="L3" s="1" t="s">
        <v>424</v>
      </c>
    </row>
    <row r="4" spans="1:12" ht="19.5" customHeight="1" x14ac:dyDescent="0.3">
      <c r="A4" s="2" t="s">
        <v>16</v>
      </c>
      <c r="B4" s="3" t="s">
        <v>18</v>
      </c>
      <c r="C4" s="3" t="s">
        <v>17</v>
      </c>
      <c r="D4" s="14" t="s">
        <v>425</v>
      </c>
      <c r="E4" s="11" t="s">
        <v>426</v>
      </c>
      <c r="F4" s="3" t="s">
        <v>427</v>
      </c>
      <c r="G4" s="3" t="s">
        <v>428</v>
      </c>
      <c r="H4" s="3" t="s">
        <v>429</v>
      </c>
      <c r="I4" s="3" t="s">
        <v>430</v>
      </c>
      <c r="J4" s="5" t="s">
        <v>431</v>
      </c>
      <c r="K4" s="2" t="s">
        <v>432</v>
      </c>
      <c r="L4" s="11" t="s">
        <v>433</v>
      </c>
    </row>
    <row r="5" spans="1:12" ht="19.5" customHeight="1" x14ac:dyDescent="0.3">
      <c r="A5" s="6" t="s">
        <v>25</v>
      </c>
      <c r="B5" s="7" t="s">
        <v>18</v>
      </c>
      <c r="C5" s="7" t="s">
        <v>17</v>
      </c>
      <c r="D5" s="14" t="s">
        <v>425</v>
      </c>
      <c r="E5" s="13" t="s">
        <v>426</v>
      </c>
      <c r="F5" s="7" t="s">
        <v>434</v>
      </c>
      <c r="G5" s="7" t="s">
        <v>428</v>
      </c>
      <c r="H5" s="7" t="s">
        <v>429</v>
      </c>
      <c r="I5" s="7" t="s">
        <v>430</v>
      </c>
      <c r="J5" s="9"/>
      <c r="K5" s="6" t="s">
        <v>432</v>
      </c>
      <c r="L5" s="13" t="s">
        <v>433</v>
      </c>
    </row>
    <row r="6" spans="1:12" ht="19.5" customHeight="1" x14ac:dyDescent="0.3">
      <c r="A6" s="2" t="s">
        <v>26</v>
      </c>
      <c r="B6" s="3" t="s">
        <v>18</v>
      </c>
      <c r="C6" s="3" t="s">
        <v>17</v>
      </c>
      <c r="D6" s="15" t="s">
        <v>29</v>
      </c>
      <c r="E6" s="11" t="s">
        <v>435</v>
      </c>
      <c r="F6" s="3" t="s">
        <v>436</v>
      </c>
      <c r="G6" s="3" t="s">
        <v>437</v>
      </c>
      <c r="H6" s="3" t="s">
        <v>438</v>
      </c>
      <c r="I6" s="3" t="s">
        <v>439</v>
      </c>
      <c r="J6" s="5" t="s">
        <v>440</v>
      </c>
      <c r="K6" s="2" t="s">
        <v>441</v>
      </c>
      <c r="L6" s="11" t="s">
        <v>433</v>
      </c>
    </row>
    <row r="7" spans="1:12" ht="19.5" customHeight="1" x14ac:dyDescent="0.3">
      <c r="A7" s="6" t="s">
        <v>31</v>
      </c>
      <c r="B7" s="7" t="s">
        <v>18</v>
      </c>
      <c r="C7" s="7" t="s">
        <v>17</v>
      </c>
      <c r="D7" s="16" t="s">
        <v>38</v>
      </c>
      <c r="E7" s="13" t="s">
        <v>435</v>
      </c>
      <c r="F7" s="7" t="s">
        <v>427</v>
      </c>
      <c r="G7" s="7" t="s">
        <v>428</v>
      </c>
      <c r="H7" s="7" t="s">
        <v>442</v>
      </c>
      <c r="I7" s="7" t="s">
        <v>430</v>
      </c>
      <c r="J7" s="9" t="s">
        <v>443</v>
      </c>
      <c r="K7" s="6" t="s">
        <v>432</v>
      </c>
      <c r="L7" s="13" t="s">
        <v>444</v>
      </c>
    </row>
    <row r="8" spans="1:12" ht="19.5" customHeight="1" x14ac:dyDescent="0.3">
      <c r="A8" s="2" t="s">
        <v>33</v>
      </c>
      <c r="B8" s="3" t="s">
        <v>34</v>
      </c>
      <c r="C8" s="3" t="s">
        <v>17</v>
      </c>
      <c r="D8" s="16" t="s">
        <v>38</v>
      </c>
      <c r="E8" s="11" t="s">
        <v>445</v>
      </c>
      <c r="F8" s="3" t="s">
        <v>434</v>
      </c>
      <c r="G8" s="3" t="s">
        <v>428</v>
      </c>
      <c r="H8" s="3" t="s">
        <v>429</v>
      </c>
      <c r="I8" s="3" t="s">
        <v>430</v>
      </c>
      <c r="J8" s="5" t="s">
        <v>446</v>
      </c>
      <c r="K8" s="2" t="s">
        <v>432</v>
      </c>
      <c r="L8" s="11" t="s">
        <v>444</v>
      </c>
    </row>
    <row r="9" spans="1:12" ht="19.5" customHeight="1" x14ac:dyDescent="0.3">
      <c r="A9" s="6" t="s">
        <v>39</v>
      </c>
      <c r="B9" s="7" t="s">
        <v>34</v>
      </c>
      <c r="C9" s="7" t="s">
        <v>17</v>
      </c>
      <c r="D9" s="14" t="s">
        <v>425</v>
      </c>
      <c r="E9" s="13" t="s">
        <v>426</v>
      </c>
      <c r="F9" s="7" t="s">
        <v>447</v>
      </c>
      <c r="G9" s="7" t="s">
        <v>428</v>
      </c>
      <c r="H9" s="7" t="s">
        <v>442</v>
      </c>
      <c r="I9" s="7" t="s">
        <v>430</v>
      </c>
      <c r="J9" s="9" t="s">
        <v>448</v>
      </c>
      <c r="K9" s="6" t="s">
        <v>432</v>
      </c>
      <c r="L9" s="13" t="s">
        <v>433</v>
      </c>
    </row>
    <row r="10" spans="1:12" ht="19.5" customHeight="1" x14ac:dyDescent="0.3">
      <c r="A10" s="2" t="s">
        <v>40</v>
      </c>
      <c r="B10" s="3" t="s">
        <v>41</v>
      </c>
      <c r="C10" s="3" t="s">
        <v>17</v>
      </c>
      <c r="D10" s="16" t="s">
        <v>38</v>
      </c>
      <c r="E10" s="11" t="s">
        <v>449</v>
      </c>
      <c r="F10" s="3" t="s">
        <v>427</v>
      </c>
      <c r="G10" s="3" t="s">
        <v>428</v>
      </c>
      <c r="H10" s="3" t="s">
        <v>429</v>
      </c>
      <c r="I10" s="3" t="s">
        <v>430</v>
      </c>
      <c r="J10" s="5" t="s">
        <v>450</v>
      </c>
      <c r="K10" s="2" t="s">
        <v>432</v>
      </c>
      <c r="L10" s="11" t="s">
        <v>433</v>
      </c>
    </row>
    <row r="11" spans="1:12" ht="19.5" customHeight="1" x14ac:dyDescent="0.3">
      <c r="A11" s="6" t="s">
        <v>44</v>
      </c>
      <c r="B11" s="7" t="s">
        <v>41</v>
      </c>
      <c r="C11" s="7" t="s">
        <v>17</v>
      </c>
      <c r="D11" s="17" t="s">
        <v>451</v>
      </c>
      <c r="E11" s="13" t="s">
        <v>426</v>
      </c>
      <c r="F11" s="7" t="s">
        <v>434</v>
      </c>
      <c r="G11" s="7" t="s">
        <v>437</v>
      </c>
      <c r="H11" s="7" t="s">
        <v>438</v>
      </c>
      <c r="I11" s="7" t="s">
        <v>430</v>
      </c>
      <c r="J11" s="9" t="s">
        <v>452</v>
      </c>
      <c r="K11" s="6" t="s">
        <v>453</v>
      </c>
      <c r="L11" s="13" t="s">
        <v>426</v>
      </c>
    </row>
    <row r="12" spans="1:12" ht="19.5" customHeight="1" x14ac:dyDescent="0.3">
      <c r="A12" s="2" t="s">
        <v>45</v>
      </c>
      <c r="B12" s="3" t="s">
        <v>18</v>
      </c>
      <c r="C12" s="3" t="s">
        <v>46</v>
      </c>
      <c r="D12" s="14" t="s">
        <v>425</v>
      </c>
      <c r="E12" s="11" t="s">
        <v>426</v>
      </c>
      <c r="F12" s="3" t="s">
        <v>447</v>
      </c>
      <c r="G12" s="3" t="s">
        <v>428</v>
      </c>
      <c r="H12" s="3" t="s">
        <v>442</v>
      </c>
      <c r="I12" s="3" t="s">
        <v>430</v>
      </c>
      <c r="J12" s="5"/>
      <c r="K12" s="2" t="s">
        <v>432</v>
      </c>
      <c r="L12" s="11" t="s">
        <v>433</v>
      </c>
    </row>
    <row r="13" spans="1:12" ht="19.5" customHeight="1" x14ac:dyDescent="0.3">
      <c r="A13" s="6" t="s">
        <v>47</v>
      </c>
      <c r="B13" s="7" t="s">
        <v>18</v>
      </c>
      <c r="C13" s="7" t="s">
        <v>46</v>
      </c>
      <c r="D13" s="14" t="s">
        <v>425</v>
      </c>
      <c r="E13" s="13" t="s">
        <v>426</v>
      </c>
      <c r="F13" s="7" t="s">
        <v>436</v>
      </c>
      <c r="G13" s="7" t="s">
        <v>428</v>
      </c>
      <c r="H13" s="7" t="s">
        <v>429</v>
      </c>
      <c r="I13" s="7" t="s">
        <v>430</v>
      </c>
      <c r="J13" s="9"/>
      <c r="K13" s="6" t="s">
        <v>432</v>
      </c>
      <c r="L13" s="13" t="s">
        <v>433</v>
      </c>
    </row>
    <row r="14" spans="1:12" ht="19.5" customHeight="1" x14ac:dyDescent="0.3">
      <c r="A14" s="2" t="s">
        <v>48</v>
      </c>
      <c r="B14" s="3" t="s">
        <v>34</v>
      </c>
      <c r="C14" s="3" t="s">
        <v>46</v>
      </c>
      <c r="D14" s="16" t="s">
        <v>38</v>
      </c>
      <c r="E14" s="11" t="s">
        <v>435</v>
      </c>
      <c r="F14" s="3" t="s">
        <v>427</v>
      </c>
      <c r="G14" s="3" t="s">
        <v>428</v>
      </c>
      <c r="H14" s="3" t="s">
        <v>442</v>
      </c>
      <c r="I14" s="3" t="s">
        <v>430</v>
      </c>
      <c r="J14" s="5" t="s">
        <v>454</v>
      </c>
      <c r="K14" s="2" t="s">
        <v>432</v>
      </c>
      <c r="L14" s="11" t="s">
        <v>444</v>
      </c>
    </row>
    <row r="15" spans="1:12" ht="19.5" customHeight="1" x14ac:dyDescent="0.3">
      <c r="A15" s="6" t="s">
        <v>49</v>
      </c>
      <c r="B15" s="7" t="s">
        <v>34</v>
      </c>
      <c r="C15" s="7" t="s">
        <v>46</v>
      </c>
      <c r="D15" s="14" t="s">
        <v>425</v>
      </c>
      <c r="E15" s="13" t="s">
        <v>426</v>
      </c>
      <c r="F15" s="7" t="s">
        <v>434</v>
      </c>
      <c r="G15" s="7" t="s">
        <v>428</v>
      </c>
      <c r="H15" s="7" t="s">
        <v>429</v>
      </c>
      <c r="I15" s="7" t="s">
        <v>430</v>
      </c>
      <c r="J15" s="9"/>
      <c r="K15" s="6" t="s">
        <v>432</v>
      </c>
      <c r="L15" s="13" t="s">
        <v>433</v>
      </c>
    </row>
    <row r="16" spans="1:12" ht="19.5" customHeight="1" x14ac:dyDescent="0.3">
      <c r="A16" s="2" t="s">
        <v>51</v>
      </c>
      <c r="B16" s="3" t="s">
        <v>34</v>
      </c>
      <c r="C16" s="3" t="s">
        <v>46</v>
      </c>
      <c r="D16" s="14" t="s">
        <v>425</v>
      </c>
      <c r="E16" s="11" t="s">
        <v>426</v>
      </c>
      <c r="F16" s="3" t="s">
        <v>447</v>
      </c>
      <c r="G16" s="3" t="s">
        <v>428</v>
      </c>
      <c r="H16" s="3" t="s">
        <v>442</v>
      </c>
      <c r="I16" s="3" t="s">
        <v>430</v>
      </c>
      <c r="J16" s="5"/>
      <c r="K16" s="2" t="s">
        <v>432</v>
      </c>
      <c r="L16" s="11" t="s">
        <v>433</v>
      </c>
    </row>
    <row r="17" spans="1:12" ht="19.5" customHeight="1" x14ac:dyDescent="0.3">
      <c r="A17" s="6" t="s">
        <v>53</v>
      </c>
      <c r="B17" s="7" t="s">
        <v>54</v>
      </c>
      <c r="C17" s="7" t="s">
        <v>46</v>
      </c>
      <c r="D17" s="16" t="s">
        <v>38</v>
      </c>
      <c r="E17" s="13" t="s">
        <v>445</v>
      </c>
      <c r="F17" s="7" t="s">
        <v>427</v>
      </c>
      <c r="G17" s="7" t="s">
        <v>428</v>
      </c>
      <c r="H17" s="7" t="s">
        <v>429</v>
      </c>
      <c r="I17" s="7" t="s">
        <v>430</v>
      </c>
      <c r="J17" s="9" t="s">
        <v>455</v>
      </c>
      <c r="K17" s="6" t="s">
        <v>432</v>
      </c>
      <c r="L17" s="13" t="s">
        <v>433</v>
      </c>
    </row>
    <row r="18" spans="1:12" ht="19.5" customHeight="1" x14ac:dyDescent="0.3">
      <c r="A18" s="2" t="s">
        <v>56</v>
      </c>
      <c r="B18" s="3" t="s">
        <v>54</v>
      </c>
      <c r="C18" s="3" t="s">
        <v>46</v>
      </c>
      <c r="D18" s="14" t="s">
        <v>425</v>
      </c>
      <c r="E18" s="11" t="s">
        <v>426</v>
      </c>
      <c r="F18" s="3" t="s">
        <v>436</v>
      </c>
      <c r="G18" s="3" t="s">
        <v>428</v>
      </c>
      <c r="H18" s="3" t="s">
        <v>442</v>
      </c>
      <c r="I18" s="3" t="s">
        <v>430</v>
      </c>
      <c r="J18" s="5"/>
      <c r="K18" s="2" t="s">
        <v>432</v>
      </c>
      <c r="L18" s="11" t="s">
        <v>433</v>
      </c>
    </row>
    <row r="19" spans="1:12" ht="19.5" customHeight="1" x14ac:dyDescent="0.3">
      <c r="A19" s="6" t="s">
        <v>57</v>
      </c>
      <c r="B19" s="7" t="s">
        <v>41</v>
      </c>
      <c r="C19" s="7" t="s">
        <v>46</v>
      </c>
      <c r="D19" s="14" t="s">
        <v>425</v>
      </c>
      <c r="E19" s="13" t="s">
        <v>426</v>
      </c>
      <c r="F19" s="7" t="s">
        <v>434</v>
      </c>
      <c r="G19" s="7" t="s">
        <v>428</v>
      </c>
      <c r="H19" s="7" t="s">
        <v>429</v>
      </c>
      <c r="I19" s="7" t="s">
        <v>430</v>
      </c>
      <c r="J19" s="9"/>
      <c r="K19" s="6" t="s">
        <v>432</v>
      </c>
      <c r="L19" s="13" t="s">
        <v>433</v>
      </c>
    </row>
    <row r="20" spans="1:12" ht="19.5" customHeight="1" x14ac:dyDescent="0.3">
      <c r="A20" s="2" t="s">
        <v>59</v>
      </c>
      <c r="B20" s="3" t="s">
        <v>34</v>
      </c>
      <c r="C20" s="3" t="s">
        <v>60</v>
      </c>
      <c r="D20" s="14" t="s">
        <v>425</v>
      </c>
      <c r="E20" s="11" t="s">
        <v>426</v>
      </c>
      <c r="F20" s="3" t="s">
        <v>447</v>
      </c>
      <c r="G20" s="3" t="s">
        <v>428</v>
      </c>
      <c r="H20" s="3" t="s">
        <v>442</v>
      </c>
      <c r="I20" s="3" t="s">
        <v>430</v>
      </c>
      <c r="J20" s="5" t="s">
        <v>456</v>
      </c>
      <c r="K20" s="2" t="s">
        <v>432</v>
      </c>
      <c r="L20" s="11" t="s">
        <v>433</v>
      </c>
    </row>
    <row r="21" spans="1:12" ht="19.5" customHeight="1" x14ac:dyDescent="0.3">
      <c r="A21" s="6" t="s">
        <v>62</v>
      </c>
      <c r="B21" s="7" t="s">
        <v>34</v>
      </c>
      <c r="C21" s="7" t="s">
        <v>60</v>
      </c>
      <c r="D21" s="16" t="s">
        <v>38</v>
      </c>
      <c r="E21" s="13" t="s">
        <v>435</v>
      </c>
      <c r="F21" s="7" t="s">
        <v>427</v>
      </c>
      <c r="G21" s="7" t="s">
        <v>428</v>
      </c>
      <c r="H21" s="7" t="s">
        <v>429</v>
      </c>
      <c r="I21" s="7" t="s">
        <v>430</v>
      </c>
      <c r="J21" s="9" t="s">
        <v>457</v>
      </c>
      <c r="K21" s="6" t="s">
        <v>432</v>
      </c>
      <c r="L21" s="13" t="s">
        <v>444</v>
      </c>
    </row>
    <row r="22" spans="1:12" ht="19.5" customHeight="1" x14ac:dyDescent="0.3">
      <c r="A22" s="2" t="s">
        <v>65</v>
      </c>
      <c r="B22" s="3" t="s">
        <v>54</v>
      </c>
      <c r="C22" s="3" t="s">
        <v>60</v>
      </c>
      <c r="D22" s="14" t="s">
        <v>425</v>
      </c>
      <c r="E22" s="11" t="s">
        <v>426</v>
      </c>
      <c r="F22" s="3" t="s">
        <v>436</v>
      </c>
      <c r="G22" s="3" t="s">
        <v>428</v>
      </c>
      <c r="H22" s="3" t="s">
        <v>442</v>
      </c>
      <c r="I22" s="3" t="s">
        <v>430</v>
      </c>
      <c r="J22" s="5"/>
      <c r="K22" s="2" t="s">
        <v>432</v>
      </c>
      <c r="L22" s="11" t="s">
        <v>433</v>
      </c>
    </row>
    <row r="23" spans="1:12" ht="19.5" customHeight="1" x14ac:dyDescent="0.3">
      <c r="A23" s="6" t="s">
        <v>66</v>
      </c>
      <c r="B23" s="7" t="s">
        <v>54</v>
      </c>
      <c r="C23" s="7" t="s">
        <v>60</v>
      </c>
      <c r="D23" s="16" t="s">
        <v>38</v>
      </c>
      <c r="E23" s="13" t="s">
        <v>449</v>
      </c>
      <c r="F23" s="7" t="s">
        <v>434</v>
      </c>
      <c r="G23" s="7" t="s">
        <v>428</v>
      </c>
      <c r="H23" s="7" t="s">
        <v>429</v>
      </c>
      <c r="I23" s="7" t="s">
        <v>430</v>
      </c>
      <c r="J23" s="9" t="s">
        <v>458</v>
      </c>
      <c r="K23" s="6" t="s">
        <v>432</v>
      </c>
      <c r="L23" s="13" t="s">
        <v>459</v>
      </c>
    </row>
    <row r="24" spans="1:12" ht="19.5" customHeight="1" x14ac:dyDescent="0.3">
      <c r="A24" s="2" t="s">
        <v>69</v>
      </c>
      <c r="B24" s="3" t="s">
        <v>70</v>
      </c>
      <c r="C24" s="3" t="s">
        <v>60</v>
      </c>
      <c r="D24" s="15" t="s">
        <v>29</v>
      </c>
      <c r="E24" s="11" t="s">
        <v>445</v>
      </c>
      <c r="F24" s="3" t="s">
        <v>447</v>
      </c>
      <c r="G24" s="3" t="s">
        <v>437</v>
      </c>
      <c r="H24" s="3" t="s">
        <v>438</v>
      </c>
      <c r="I24" s="3" t="s">
        <v>74</v>
      </c>
      <c r="J24" s="5" t="s">
        <v>460</v>
      </c>
      <c r="K24" s="2" t="s">
        <v>441</v>
      </c>
      <c r="L24" s="11" t="s">
        <v>433</v>
      </c>
    </row>
    <row r="25" spans="1:12" ht="19.5" customHeight="1" x14ac:dyDescent="0.3">
      <c r="A25" s="6" t="s">
        <v>72</v>
      </c>
      <c r="B25" s="7" t="s">
        <v>70</v>
      </c>
      <c r="C25" s="7" t="s">
        <v>60</v>
      </c>
      <c r="D25" s="15" t="s">
        <v>29</v>
      </c>
      <c r="E25" s="13" t="s">
        <v>449</v>
      </c>
      <c r="F25" s="7" t="s">
        <v>436</v>
      </c>
      <c r="G25" s="7" t="s">
        <v>437</v>
      </c>
      <c r="H25" s="7" t="s">
        <v>438</v>
      </c>
      <c r="I25" s="7" t="s">
        <v>461</v>
      </c>
      <c r="J25" s="9" t="s">
        <v>462</v>
      </c>
      <c r="K25" s="6" t="s">
        <v>441</v>
      </c>
      <c r="L25" s="13" t="s">
        <v>463</v>
      </c>
    </row>
    <row r="26" spans="1:12" ht="19.5" customHeight="1" x14ac:dyDescent="0.3">
      <c r="A26" s="2" t="s">
        <v>75</v>
      </c>
      <c r="B26" s="3" t="s">
        <v>76</v>
      </c>
      <c r="C26" s="3" t="s">
        <v>60</v>
      </c>
      <c r="D26" s="16" t="s">
        <v>38</v>
      </c>
      <c r="E26" s="11" t="s">
        <v>464</v>
      </c>
      <c r="F26" s="3" t="s">
        <v>427</v>
      </c>
      <c r="G26" s="3" t="s">
        <v>428</v>
      </c>
      <c r="H26" s="3" t="s">
        <v>429</v>
      </c>
      <c r="I26" s="3" t="s">
        <v>430</v>
      </c>
      <c r="J26" s="5" t="s">
        <v>465</v>
      </c>
      <c r="K26" s="2" t="s">
        <v>432</v>
      </c>
      <c r="L26" s="11" t="s">
        <v>459</v>
      </c>
    </row>
    <row r="27" spans="1:12" ht="19.5" customHeight="1" x14ac:dyDescent="0.3">
      <c r="A27" s="6" t="s">
        <v>80</v>
      </c>
      <c r="B27" s="7" t="s">
        <v>82</v>
      </c>
      <c r="C27" s="7" t="s">
        <v>81</v>
      </c>
      <c r="D27" s="14" t="s">
        <v>425</v>
      </c>
      <c r="E27" s="13" t="s">
        <v>426</v>
      </c>
      <c r="F27" s="7" t="s">
        <v>434</v>
      </c>
      <c r="G27" s="7" t="s">
        <v>428</v>
      </c>
      <c r="H27" s="7" t="s">
        <v>442</v>
      </c>
      <c r="I27" s="7" t="s">
        <v>430</v>
      </c>
      <c r="J27" s="9" t="s">
        <v>466</v>
      </c>
      <c r="K27" s="6" t="s">
        <v>432</v>
      </c>
      <c r="L27" s="13" t="s">
        <v>433</v>
      </c>
    </row>
    <row r="28" spans="1:12" ht="19.5" customHeight="1" x14ac:dyDescent="0.3">
      <c r="A28" s="2" t="s">
        <v>86</v>
      </c>
      <c r="B28" s="3" t="s">
        <v>82</v>
      </c>
      <c r="C28" s="3" t="s">
        <v>81</v>
      </c>
      <c r="D28" s="16" t="s">
        <v>38</v>
      </c>
      <c r="E28" s="11" t="s">
        <v>435</v>
      </c>
      <c r="F28" s="3" t="s">
        <v>447</v>
      </c>
      <c r="G28" s="3" t="s">
        <v>428</v>
      </c>
      <c r="H28" s="3" t="s">
        <v>429</v>
      </c>
      <c r="I28" s="3" t="s">
        <v>430</v>
      </c>
      <c r="J28" s="5" t="s">
        <v>467</v>
      </c>
      <c r="K28" s="2" t="s">
        <v>432</v>
      </c>
      <c r="L28" s="11" t="s">
        <v>444</v>
      </c>
    </row>
    <row r="29" spans="1:12" ht="19.5" customHeight="1" x14ac:dyDescent="0.3">
      <c r="A29" s="6" t="s">
        <v>87</v>
      </c>
      <c r="B29" s="7" t="s">
        <v>82</v>
      </c>
      <c r="C29" s="7" t="s">
        <v>81</v>
      </c>
      <c r="D29" s="17" t="s">
        <v>451</v>
      </c>
      <c r="E29" s="13" t="s">
        <v>426</v>
      </c>
      <c r="F29" s="7" t="s">
        <v>436</v>
      </c>
      <c r="G29" s="7" t="s">
        <v>437</v>
      </c>
      <c r="H29" s="7" t="s">
        <v>438</v>
      </c>
      <c r="I29" s="7" t="s">
        <v>430</v>
      </c>
      <c r="J29" s="9" t="s">
        <v>468</v>
      </c>
      <c r="K29" s="6" t="s">
        <v>453</v>
      </c>
      <c r="L29" s="13" t="s">
        <v>426</v>
      </c>
    </row>
    <row r="30" spans="1:12" ht="19.5" customHeight="1" x14ac:dyDescent="0.3">
      <c r="A30" s="2" t="s">
        <v>90</v>
      </c>
      <c r="B30" s="3" t="s">
        <v>91</v>
      </c>
      <c r="C30" s="3" t="s">
        <v>81</v>
      </c>
      <c r="D30" s="14" t="s">
        <v>425</v>
      </c>
      <c r="E30" s="11" t="s">
        <v>426</v>
      </c>
      <c r="F30" s="3" t="s">
        <v>434</v>
      </c>
      <c r="G30" s="3" t="s">
        <v>428</v>
      </c>
      <c r="H30" s="3" t="s">
        <v>442</v>
      </c>
      <c r="I30" s="3" t="s">
        <v>430</v>
      </c>
      <c r="J30" s="5" t="s">
        <v>469</v>
      </c>
      <c r="K30" s="2" t="s">
        <v>432</v>
      </c>
      <c r="L30" s="11" t="s">
        <v>433</v>
      </c>
    </row>
    <row r="31" spans="1:12" ht="19.5" customHeight="1" x14ac:dyDescent="0.3">
      <c r="A31" s="6" t="s">
        <v>94</v>
      </c>
      <c r="B31" s="7" t="s">
        <v>91</v>
      </c>
      <c r="C31" s="7" t="s">
        <v>81</v>
      </c>
      <c r="D31" s="14" t="s">
        <v>425</v>
      </c>
      <c r="E31" s="13" t="s">
        <v>426</v>
      </c>
      <c r="F31" s="7" t="s">
        <v>447</v>
      </c>
      <c r="G31" s="7" t="s">
        <v>428</v>
      </c>
      <c r="H31" s="7" t="s">
        <v>429</v>
      </c>
      <c r="I31" s="7" t="s">
        <v>430</v>
      </c>
      <c r="J31" s="9"/>
      <c r="K31" s="6" t="s">
        <v>432</v>
      </c>
      <c r="L31" s="13" t="s">
        <v>433</v>
      </c>
    </row>
    <row r="32" spans="1:12" ht="19.5" customHeight="1" x14ac:dyDescent="0.3">
      <c r="A32" s="2" t="s">
        <v>95</v>
      </c>
      <c r="B32" s="3" t="s">
        <v>91</v>
      </c>
      <c r="C32" s="3" t="s">
        <v>81</v>
      </c>
      <c r="D32" s="18" t="s">
        <v>96</v>
      </c>
      <c r="E32" s="11" t="s">
        <v>470</v>
      </c>
      <c r="F32" s="3" t="s">
        <v>438</v>
      </c>
      <c r="G32" s="3" t="s">
        <v>438</v>
      </c>
      <c r="H32" s="3" t="s">
        <v>438</v>
      </c>
      <c r="I32" s="3" t="s">
        <v>471</v>
      </c>
      <c r="J32" s="5" t="s">
        <v>472</v>
      </c>
      <c r="K32" s="2" t="s">
        <v>432</v>
      </c>
      <c r="L32" s="11" t="s">
        <v>473</v>
      </c>
    </row>
    <row r="33" spans="1:12" ht="19.5" customHeight="1" x14ac:dyDescent="0.3">
      <c r="A33" s="6" t="s">
        <v>98</v>
      </c>
      <c r="B33" s="7" t="s">
        <v>99</v>
      </c>
      <c r="C33" s="7" t="s">
        <v>81</v>
      </c>
      <c r="D33" s="14" t="s">
        <v>425</v>
      </c>
      <c r="E33" s="13" t="s">
        <v>426</v>
      </c>
      <c r="F33" s="7" t="s">
        <v>436</v>
      </c>
      <c r="G33" s="7" t="s">
        <v>428</v>
      </c>
      <c r="H33" s="7" t="s">
        <v>442</v>
      </c>
      <c r="I33" s="7" t="s">
        <v>430</v>
      </c>
      <c r="J33" s="9" t="s">
        <v>474</v>
      </c>
      <c r="K33" s="6" t="s">
        <v>432</v>
      </c>
      <c r="L33" s="13" t="s">
        <v>433</v>
      </c>
    </row>
    <row r="34" spans="1:12" ht="19.5" customHeight="1" x14ac:dyDescent="0.3">
      <c r="A34" s="2" t="s">
        <v>103</v>
      </c>
      <c r="B34" s="3" t="s">
        <v>99</v>
      </c>
      <c r="C34" s="3" t="s">
        <v>81</v>
      </c>
      <c r="D34" s="14" t="s">
        <v>425</v>
      </c>
      <c r="E34" s="11" t="s">
        <v>426</v>
      </c>
      <c r="F34" s="3" t="s">
        <v>427</v>
      </c>
      <c r="G34" s="3" t="s">
        <v>428</v>
      </c>
      <c r="H34" s="3" t="s">
        <v>429</v>
      </c>
      <c r="I34" s="3" t="s">
        <v>430</v>
      </c>
      <c r="J34" s="5"/>
      <c r="K34" s="2" t="s">
        <v>432</v>
      </c>
      <c r="L34" s="11" t="s">
        <v>433</v>
      </c>
    </row>
  </sheetData>
  <autoFilter ref="A3:L34"/>
  <mergeCells count="2">
    <mergeCell ref="A1:L1"/>
    <mergeCell ref="A2:L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52B788"/>
  </sheetPr>
  <dimension ref="A1:O22"/>
  <sheetViews>
    <sheetView showGridLines="0" topLeftCell="A5" zoomScaleNormal="100" workbookViewId="0">
      <selection sqref="A1:O1"/>
    </sheetView>
  </sheetViews>
  <sheetFormatPr defaultColWidth="8.6640625" defaultRowHeight="14.4" x14ac:dyDescent="0.3"/>
  <cols>
    <col min="1" max="1" width="10" customWidth="1"/>
    <col min="2" max="2" width="16" customWidth="1"/>
    <col min="3" max="3" width="11" customWidth="1"/>
    <col min="4" max="7" width="13" customWidth="1"/>
    <col min="9" max="9" width="20" customWidth="1"/>
    <col min="10" max="10" width="11" customWidth="1"/>
    <col min="11" max="11" width="12" customWidth="1"/>
    <col min="12" max="12" width="16" customWidth="1"/>
    <col min="13" max="13" width="14" customWidth="1"/>
    <col min="14" max="14" width="13" customWidth="1"/>
  </cols>
  <sheetData>
    <row r="1" spans="1:15" ht="43.5" customHeight="1" x14ac:dyDescent="0.3">
      <c r="A1" s="35" t="s">
        <v>475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</row>
    <row r="2" spans="1:15" ht="19.5" customHeight="1" x14ac:dyDescent="0.3">
      <c r="A2" s="27" t="s">
        <v>476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</row>
    <row r="4" spans="1:15" ht="24" customHeight="1" x14ac:dyDescent="0.3">
      <c r="A4" s="36" t="s">
        <v>477</v>
      </c>
      <c r="B4" s="36"/>
      <c r="C4" s="36"/>
      <c r="D4" s="36"/>
      <c r="E4" s="36"/>
      <c r="F4" s="37" t="s">
        <v>478</v>
      </c>
      <c r="G4" s="37"/>
      <c r="H4" s="37"/>
      <c r="I4" s="37"/>
      <c r="J4" s="37"/>
      <c r="K4" s="38" t="s">
        <v>479</v>
      </c>
      <c r="L4" s="38"/>
      <c r="M4" s="38"/>
      <c r="N4" s="38"/>
      <c r="O4" s="38"/>
    </row>
    <row r="5" spans="1:15" ht="37.5" customHeight="1" x14ac:dyDescent="0.3">
      <c r="A5" s="29" t="s">
        <v>480</v>
      </c>
      <c r="B5" s="29"/>
      <c r="C5" s="29"/>
      <c r="D5" s="29"/>
      <c r="E5" s="29"/>
      <c r="F5" s="30" t="s">
        <v>481</v>
      </c>
      <c r="G5" s="30"/>
      <c r="H5" s="30"/>
      <c r="I5" s="30"/>
      <c r="J5" s="30"/>
      <c r="K5" s="31" t="s">
        <v>482</v>
      </c>
      <c r="L5" s="31"/>
      <c r="M5" s="31"/>
      <c r="N5" s="31"/>
      <c r="O5" s="31"/>
    </row>
    <row r="6" spans="1:15" ht="19.5" customHeight="1" x14ac:dyDescent="0.3">
      <c r="A6" s="32" t="s">
        <v>483</v>
      </c>
      <c r="B6" s="32"/>
      <c r="C6" s="32"/>
      <c r="D6" s="32"/>
      <c r="E6" s="32"/>
      <c r="F6" s="33" t="s">
        <v>484</v>
      </c>
      <c r="G6" s="33"/>
      <c r="H6" s="33"/>
      <c r="I6" s="33"/>
      <c r="J6" s="33"/>
      <c r="K6" s="34" t="s">
        <v>485</v>
      </c>
      <c r="L6" s="34"/>
      <c r="M6" s="34"/>
      <c r="N6" s="34"/>
      <c r="O6" s="34"/>
    </row>
    <row r="8" spans="1:15" ht="24" customHeight="1" x14ac:dyDescent="0.3">
      <c r="A8" s="28" t="s">
        <v>486</v>
      </c>
      <c r="B8" s="28"/>
      <c r="C8" s="28"/>
      <c r="D8" s="28"/>
      <c r="E8" s="28"/>
      <c r="F8" s="28"/>
      <c r="G8" s="28"/>
      <c r="I8" s="28" t="s">
        <v>487</v>
      </c>
      <c r="J8" s="28"/>
      <c r="K8" s="28"/>
      <c r="L8" s="28"/>
      <c r="M8" s="28"/>
      <c r="N8" s="28"/>
      <c r="O8" s="28"/>
    </row>
    <row r="9" spans="1:15" ht="24" customHeight="1" x14ac:dyDescent="0.3">
      <c r="A9" s="19" t="s">
        <v>488</v>
      </c>
      <c r="B9" s="19" t="s">
        <v>489</v>
      </c>
      <c r="C9" s="19" t="s">
        <v>490</v>
      </c>
      <c r="D9" s="19" t="s">
        <v>491</v>
      </c>
      <c r="E9" s="19" t="s">
        <v>492</v>
      </c>
      <c r="F9" s="19" t="s">
        <v>493</v>
      </c>
      <c r="G9" s="19" t="s">
        <v>494</v>
      </c>
      <c r="I9" s="19" t="s">
        <v>4</v>
      </c>
      <c r="J9" s="19" t="s">
        <v>490</v>
      </c>
      <c r="K9" s="19" t="s">
        <v>495</v>
      </c>
      <c r="L9" s="19" t="s">
        <v>489</v>
      </c>
      <c r="M9" s="19" t="s">
        <v>496</v>
      </c>
      <c r="N9" s="19" t="s">
        <v>497</v>
      </c>
    </row>
    <row r="10" spans="1:15" ht="18" customHeight="1" x14ac:dyDescent="0.3">
      <c r="A10" s="2" t="s">
        <v>498</v>
      </c>
      <c r="B10" s="4">
        <v>185000</v>
      </c>
      <c r="C10" s="3">
        <v>4</v>
      </c>
      <c r="D10" s="20">
        <v>0.62</v>
      </c>
      <c r="E10" s="4">
        <v>3700</v>
      </c>
      <c r="F10" s="4">
        <v>46250</v>
      </c>
      <c r="G10" s="3" t="s">
        <v>438</v>
      </c>
      <c r="I10" s="10" t="s">
        <v>18</v>
      </c>
      <c r="J10" s="3">
        <v>12</v>
      </c>
      <c r="K10" s="3">
        <v>26</v>
      </c>
      <c r="L10" s="4">
        <v>287000</v>
      </c>
      <c r="M10" s="4">
        <v>11038</v>
      </c>
      <c r="N10" s="21">
        <v>5.9019494941186197E-2</v>
      </c>
    </row>
    <row r="11" spans="1:15" ht="18" customHeight="1" x14ac:dyDescent="0.3">
      <c r="A11" s="6" t="s">
        <v>499</v>
      </c>
      <c r="B11" s="8">
        <v>312000</v>
      </c>
      <c r="C11" s="7">
        <v>5</v>
      </c>
      <c r="D11" s="22">
        <v>0.75</v>
      </c>
      <c r="E11" s="8">
        <v>7548</v>
      </c>
      <c r="F11" s="8">
        <v>62400</v>
      </c>
      <c r="G11" s="23">
        <f t="shared" ref="G11:G21" si="0">B11/B10-1</f>
        <v>0.68648648648648658</v>
      </c>
      <c r="I11" s="12" t="s">
        <v>34</v>
      </c>
      <c r="J11" s="7">
        <v>16</v>
      </c>
      <c r="K11" s="7">
        <v>55</v>
      </c>
      <c r="L11" s="8">
        <v>698000</v>
      </c>
      <c r="M11" s="8">
        <v>12691</v>
      </c>
      <c r="N11" s="23">
        <v>0.14353870198239699</v>
      </c>
    </row>
    <row r="12" spans="1:15" ht="18" customHeight="1" x14ac:dyDescent="0.3">
      <c r="A12" s="2" t="s">
        <v>500</v>
      </c>
      <c r="B12" s="4">
        <v>198000</v>
      </c>
      <c r="C12" s="3">
        <v>4</v>
      </c>
      <c r="D12" s="20">
        <v>0.57999999999999996</v>
      </c>
      <c r="E12" s="4">
        <v>3705</v>
      </c>
      <c r="F12" s="4">
        <v>49500</v>
      </c>
      <c r="G12" s="21">
        <f t="shared" si="0"/>
        <v>-0.36538461538461542</v>
      </c>
      <c r="I12" s="10" t="s">
        <v>54</v>
      </c>
      <c r="J12" s="3">
        <v>15</v>
      </c>
      <c r="K12" s="3">
        <v>42</v>
      </c>
      <c r="L12" s="4">
        <v>968000</v>
      </c>
      <c r="M12" s="4">
        <v>23048</v>
      </c>
      <c r="N12" s="21">
        <v>0.19906226865180601</v>
      </c>
    </row>
    <row r="13" spans="1:15" ht="18" customHeight="1" x14ac:dyDescent="0.3">
      <c r="A13" s="6" t="s">
        <v>501</v>
      </c>
      <c r="B13" s="8">
        <v>285000</v>
      </c>
      <c r="C13" s="7">
        <v>5</v>
      </c>
      <c r="D13" s="22">
        <v>0.72</v>
      </c>
      <c r="E13" s="8">
        <v>6619</v>
      </c>
      <c r="F13" s="8">
        <v>57000</v>
      </c>
      <c r="G13" s="23">
        <f t="shared" si="0"/>
        <v>0.43939393939393945</v>
      </c>
      <c r="I13" s="12" t="s">
        <v>70</v>
      </c>
      <c r="J13" s="7">
        <v>10</v>
      </c>
      <c r="K13" s="7">
        <v>31</v>
      </c>
      <c r="L13" s="8">
        <v>938500</v>
      </c>
      <c r="M13" s="8">
        <v>30274</v>
      </c>
      <c r="N13" s="23">
        <v>0.19299580488607401</v>
      </c>
    </row>
    <row r="14" spans="1:15" ht="18" customHeight="1" x14ac:dyDescent="0.3">
      <c r="A14" s="2" t="s">
        <v>502</v>
      </c>
      <c r="B14" s="4">
        <v>245000</v>
      </c>
      <c r="C14" s="3">
        <v>5</v>
      </c>
      <c r="D14" s="20">
        <v>0.68</v>
      </c>
      <c r="E14" s="4">
        <v>5374</v>
      </c>
      <c r="F14" s="4">
        <v>49000</v>
      </c>
      <c r="G14" s="21">
        <f t="shared" si="0"/>
        <v>-0.14035087719298245</v>
      </c>
      <c r="I14" s="10" t="s">
        <v>76</v>
      </c>
      <c r="J14" s="3">
        <v>8</v>
      </c>
      <c r="K14" s="3">
        <v>36</v>
      </c>
      <c r="L14" s="4">
        <v>1182000</v>
      </c>
      <c r="M14" s="4">
        <v>32833</v>
      </c>
      <c r="N14" s="21">
        <v>0.24306983630830001</v>
      </c>
    </row>
    <row r="15" spans="1:15" ht="18" customHeight="1" x14ac:dyDescent="0.3">
      <c r="A15" s="6" t="s">
        <v>503</v>
      </c>
      <c r="B15" s="8">
        <v>310000</v>
      </c>
      <c r="C15" s="7">
        <v>5</v>
      </c>
      <c r="D15" s="22">
        <v>0.76</v>
      </c>
      <c r="E15" s="8">
        <v>7600</v>
      </c>
      <c r="F15" s="8">
        <v>62000</v>
      </c>
      <c r="G15" s="23">
        <f t="shared" si="0"/>
        <v>0.26530612244897966</v>
      </c>
      <c r="I15" s="12" t="s">
        <v>41</v>
      </c>
      <c r="J15" s="7">
        <v>8</v>
      </c>
      <c r="K15" s="7">
        <v>26</v>
      </c>
      <c r="L15" s="8">
        <v>385000</v>
      </c>
      <c r="M15" s="8">
        <v>14808</v>
      </c>
      <c r="N15" s="23">
        <v>7.9172493213786305E-2</v>
      </c>
    </row>
    <row r="16" spans="1:15" ht="18" customHeight="1" x14ac:dyDescent="0.3">
      <c r="A16" s="2" t="s">
        <v>504</v>
      </c>
      <c r="B16" s="4">
        <v>420000</v>
      </c>
      <c r="C16" s="3">
        <v>5</v>
      </c>
      <c r="D16" s="20">
        <v>0.85</v>
      </c>
      <c r="E16" s="4">
        <v>11516</v>
      </c>
      <c r="F16" s="4">
        <v>84000</v>
      </c>
      <c r="G16" s="21">
        <f t="shared" si="0"/>
        <v>0.35483870967741926</v>
      </c>
      <c r="I16" s="10" t="s">
        <v>82</v>
      </c>
      <c r="J16" s="3">
        <v>7</v>
      </c>
      <c r="K16" s="3">
        <v>21</v>
      </c>
      <c r="L16" s="4">
        <v>374000</v>
      </c>
      <c r="M16" s="4">
        <v>17810</v>
      </c>
      <c r="N16" s="21">
        <v>7.6910421979106705E-2</v>
      </c>
    </row>
    <row r="17" spans="1:14" ht="18" customHeight="1" x14ac:dyDescent="0.3">
      <c r="A17" s="6" t="s">
        <v>505</v>
      </c>
      <c r="B17" s="8">
        <v>395000</v>
      </c>
      <c r="C17" s="7">
        <v>5</v>
      </c>
      <c r="D17" s="22">
        <v>0.82</v>
      </c>
      <c r="E17" s="8">
        <v>10448</v>
      </c>
      <c r="F17" s="8">
        <v>79000</v>
      </c>
      <c r="G17" s="23">
        <f t="shared" si="0"/>
        <v>-5.9523809523809534E-2</v>
      </c>
      <c r="I17" s="12" t="s">
        <v>91</v>
      </c>
      <c r="J17" s="7">
        <v>3</v>
      </c>
      <c r="K17" s="7">
        <v>9</v>
      </c>
      <c r="L17" s="8">
        <v>24000</v>
      </c>
      <c r="M17" s="8">
        <v>2667</v>
      </c>
      <c r="N17" s="23">
        <v>4.9354281483918704E-3</v>
      </c>
    </row>
    <row r="18" spans="1:14" ht="18" customHeight="1" x14ac:dyDescent="0.3">
      <c r="A18" s="2" t="s">
        <v>506</v>
      </c>
      <c r="B18" s="4">
        <v>220000</v>
      </c>
      <c r="C18" s="3">
        <v>4</v>
      </c>
      <c r="D18" s="20">
        <v>0.6</v>
      </c>
      <c r="E18" s="4">
        <v>4258</v>
      </c>
      <c r="F18" s="4">
        <v>55000</v>
      </c>
      <c r="G18" s="21">
        <f t="shared" si="0"/>
        <v>-0.44303797468354433</v>
      </c>
      <c r="I18" s="10" t="s">
        <v>99</v>
      </c>
      <c r="J18" s="3">
        <v>1</v>
      </c>
      <c r="K18" s="3">
        <v>3</v>
      </c>
      <c r="L18" s="4">
        <v>6300</v>
      </c>
      <c r="M18" s="4">
        <v>2100</v>
      </c>
      <c r="N18" s="21">
        <v>1.2955498889528701E-3</v>
      </c>
    </row>
    <row r="19" spans="1:14" ht="18" customHeight="1" x14ac:dyDescent="0.3">
      <c r="A19" s="6" t="s">
        <v>507</v>
      </c>
      <c r="B19" s="8">
        <v>380000</v>
      </c>
      <c r="C19" s="7">
        <v>5</v>
      </c>
      <c r="D19" s="22">
        <v>0.78</v>
      </c>
      <c r="E19" s="8">
        <v>9561</v>
      </c>
      <c r="F19" s="8">
        <v>76000</v>
      </c>
      <c r="G19" s="23">
        <f t="shared" si="0"/>
        <v>0.72727272727272729</v>
      </c>
    </row>
    <row r="20" spans="1:14" ht="18" customHeight="1" x14ac:dyDescent="0.3">
      <c r="A20" s="2" t="s">
        <v>508</v>
      </c>
      <c r="B20" s="4">
        <v>295000</v>
      </c>
      <c r="C20" s="3">
        <v>4</v>
      </c>
      <c r="D20" s="20">
        <v>0.7</v>
      </c>
      <c r="E20" s="4">
        <v>6661</v>
      </c>
      <c r="F20" s="4">
        <v>73750</v>
      </c>
      <c r="G20" s="21">
        <f t="shared" si="0"/>
        <v>-0.22368421052631582</v>
      </c>
    </row>
    <row r="21" spans="1:14" ht="18" customHeight="1" x14ac:dyDescent="0.3">
      <c r="A21" s="6" t="s">
        <v>509</v>
      </c>
      <c r="B21" s="8">
        <v>597500</v>
      </c>
      <c r="C21" s="7">
        <v>8</v>
      </c>
      <c r="D21" s="22">
        <v>0.91</v>
      </c>
      <c r="E21" s="8">
        <v>17540</v>
      </c>
      <c r="F21" s="8">
        <v>74688</v>
      </c>
      <c r="G21" s="23">
        <f t="shared" si="0"/>
        <v>1.0254237288135593</v>
      </c>
    </row>
    <row r="22" spans="1:14" ht="19.5" customHeight="1" x14ac:dyDescent="0.3">
      <c r="A22" s="19" t="s">
        <v>510</v>
      </c>
      <c r="B22" s="24">
        <f>SUM(B10:B21)</f>
        <v>3842500</v>
      </c>
      <c r="C22" s="19">
        <f>SUM(C10:C21)</f>
        <v>59</v>
      </c>
      <c r="D22" s="25">
        <f>AVERAGE(D10:D21)</f>
        <v>0.73083333333333333</v>
      </c>
      <c r="E22" s="19"/>
      <c r="F22" s="19"/>
      <c r="G22" s="19"/>
    </row>
  </sheetData>
  <mergeCells count="13">
    <mergeCell ref="A1:O1"/>
    <mergeCell ref="A2:O2"/>
    <mergeCell ref="A4:E4"/>
    <mergeCell ref="F4:J4"/>
    <mergeCell ref="K4:O4"/>
    <mergeCell ref="A8:G8"/>
    <mergeCell ref="I8:O8"/>
    <mergeCell ref="A5:E5"/>
    <mergeCell ref="F5:J5"/>
    <mergeCell ref="K5:O5"/>
    <mergeCell ref="A6:E6"/>
    <mergeCell ref="F6:J6"/>
    <mergeCell ref="K6:O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C3AED"/>
  </sheetPr>
  <dimension ref="A1:K83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13" customWidth="1"/>
    <col min="3" max="3" width="24" customWidth="1"/>
    <col min="4" max="4" width="10" customWidth="1"/>
    <col min="5" max="5" width="17" customWidth="1"/>
    <col min="6" max="6" width="18" customWidth="1"/>
    <col min="7" max="7" width="13" customWidth="1"/>
    <col min="8" max="11" width="15" customWidth="1"/>
  </cols>
  <sheetData>
    <row r="1" spans="1:11" ht="42" customHeight="1" x14ac:dyDescent="0.3">
      <c r="A1" s="26" t="s">
        <v>511</v>
      </c>
      <c r="B1" s="26"/>
      <c r="C1" s="26"/>
      <c r="D1" s="26"/>
      <c r="E1" s="26"/>
      <c r="F1" s="26"/>
      <c r="G1" s="26"/>
      <c r="H1" s="26"/>
      <c r="I1" s="26"/>
      <c r="J1" s="26"/>
      <c r="K1" s="26"/>
    </row>
    <row r="2" spans="1:11" ht="19.5" customHeight="1" x14ac:dyDescent="0.3">
      <c r="A2" s="27" t="s">
        <v>512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27.75" customHeight="1" x14ac:dyDescent="0.3">
      <c r="A3" s="1" t="s">
        <v>513</v>
      </c>
      <c r="B3" s="1" t="s">
        <v>276</v>
      </c>
      <c r="C3" s="1" t="s">
        <v>277</v>
      </c>
      <c r="D3" s="1" t="s">
        <v>2</v>
      </c>
      <c r="E3" s="1" t="s">
        <v>514</v>
      </c>
      <c r="F3" s="1" t="s">
        <v>515</v>
      </c>
      <c r="G3" s="1" t="s">
        <v>285</v>
      </c>
      <c r="H3" s="1" t="s">
        <v>516</v>
      </c>
      <c r="I3" s="1" t="s">
        <v>286</v>
      </c>
      <c r="J3" s="1" t="s">
        <v>517</v>
      </c>
      <c r="K3" s="1" t="s">
        <v>518</v>
      </c>
    </row>
    <row r="4" spans="1:11" ht="18" customHeight="1" x14ac:dyDescent="0.3">
      <c r="A4" s="2" t="s">
        <v>519</v>
      </c>
      <c r="B4" s="3" t="s">
        <v>290</v>
      </c>
      <c r="C4" s="10" t="s">
        <v>291</v>
      </c>
      <c r="D4" s="3" t="s">
        <v>53</v>
      </c>
      <c r="E4" s="4">
        <f>'Booking Log'!K4</f>
        <v>19500</v>
      </c>
      <c r="F4" s="4">
        <f>'Booking Log'!L4</f>
        <v>4300</v>
      </c>
      <c r="G4" s="4">
        <f>'Booking Log'!M4</f>
        <v>500</v>
      </c>
      <c r="H4" s="4">
        <f t="shared" ref="H4:H35" si="0">ROUND((E4+F4-G4)*0.12,2)</f>
        <v>2796</v>
      </c>
      <c r="I4" s="4">
        <f>'Booking Log'!N4</f>
        <v>23300</v>
      </c>
      <c r="J4" s="4">
        <f>'Booking Log'!O4</f>
        <v>23300</v>
      </c>
      <c r="K4" s="4">
        <f t="shared" ref="K4:K35" si="1">I4-J4</f>
        <v>0</v>
      </c>
    </row>
    <row r="5" spans="1:11" ht="18" customHeight="1" x14ac:dyDescent="0.3">
      <c r="A5" s="6" t="s">
        <v>520</v>
      </c>
      <c r="B5" s="7" t="s">
        <v>294</v>
      </c>
      <c r="C5" s="12" t="s">
        <v>295</v>
      </c>
      <c r="D5" s="7" t="s">
        <v>75</v>
      </c>
      <c r="E5" s="8">
        <f>'Booking Log'!K5</f>
        <v>72000</v>
      </c>
      <c r="F5" s="8">
        <f>'Booking Log'!L5</f>
        <v>0</v>
      </c>
      <c r="G5" s="8">
        <f>'Booking Log'!M5</f>
        <v>3000</v>
      </c>
      <c r="H5" s="8">
        <f t="shared" si="0"/>
        <v>8280</v>
      </c>
      <c r="I5" s="8">
        <f>'Booking Log'!N5</f>
        <v>69000</v>
      </c>
      <c r="J5" s="8">
        <f>'Booking Log'!O5</f>
        <v>55200</v>
      </c>
      <c r="K5" s="8">
        <f t="shared" si="1"/>
        <v>13800</v>
      </c>
    </row>
    <row r="6" spans="1:11" ht="18" customHeight="1" x14ac:dyDescent="0.3">
      <c r="A6" s="2" t="s">
        <v>521</v>
      </c>
      <c r="B6" s="3" t="s">
        <v>296</v>
      </c>
      <c r="C6" s="10" t="s">
        <v>297</v>
      </c>
      <c r="D6" s="3" t="s">
        <v>69</v>
      </c>
      <c r="E6" s="4">
        <f>'Booking Log'!K6</f>
        <v>31500</v>
      </c>
      <c r="F6" s="4">
        <f>'Booking Log'!L6</f>
        <v>1800</v>
      </c>
      <c r="G6" s="4">
        <f>'Booking Log'!M6</f>
        <v>0</v>
      </c>
      <c r="H6" s="4">
        <f t="shared" si="0"/>
        <v>3996</v>
      </c>
      <c r="I6" s="4">
        <f>'Booking Log'!N6</f>
        <v>33300</v>
      </c>
      <c r="J6" s="4">
        <f>'Booking Log'!O6</f>
        <v>33300</v>
      </c>
      <c r="K6" s="4">
        <f t="shared" si="1"/>
        <v>0</v>
      </c>
    </row>
    <row r="7" spans="1:11" ht="18" customHeight="1" x14ac:dyDescent="0.3">
      <c r="A7" s="6" t="s">
        <v>522</v>
      </c>
      <c r="B7" s="7" t="s">
        <v>298</v>
      </c>
      <c r="C7" s="12" t="s">
        <v>299</v>
      </c>
      <c r="D7" s="7" t="s">
        <v>31</v>
      </c>
      <c r="E7" s="8">
        <f>'Booking Log'!K7</f>
        <v>5600</v>
      </c>
      <c r="F7" s="8">
        <f>'Booking Log'!L7</f>
        <v>0</v>
      </c>
      <c r="G7" s="8">
        <f>'Booking Log'!M7</f>
        <v>0</v>
      </c>
      <c r="H7" s="8">
        <f t="shared" si="0"/>
        <v>672</v>
      </c>
      <c r="I7" s="8">
        <f>'Booking Log'!N7</f>
        <v>5600</v>
      </c>
      <c r="J7" s="8">
        <f>'Booking Log'!O7</f>
        <v>5600</v>
      </c>
      <c r="K7" s="8">
        <f t="shared" si="1"/>
        <v>0</v>
      </c>
    </row>
    <row r="8" spans="1:11" ht="18" customHeight="1" x14ac:dyDescent="0.3">
      <c r="A8" s="2" t="s">
        <v>523</v>
      </c>
      <c r="B8" s="3" t="s">
        <v>301</v>
      </c>
      <c r="C8" s="10" t="s">
        <v>302</v>
      </c>
      <c r="D8" s="3" t="s">
        <v>48</v>
      </c>
      <c r="E8" s="4">
        <f>'Booking Log'!K8</f>
        <v>16000</v>
      </c>
      <c r="F8" s="4">
        <f>'Booking Log'!L8</f>
        <v>3000</v>
      </c>
      <c r="G8" s="4">
        <f>'Booking Log'!M8</f>
        <v>500</v>
      </c>
      <c r="H8" s="4">
        <f t="shared" si="0"/>
        <v>2220</v>
      </c>
      <c r="I8" s="4">
        <f>'Booking Log'!N8</f>
        <v>18500</v>
      </c>
      <c r="J8" s="4">
        <f>'Booking Log'!O8</f>
        <v>0</v>
      </c>
      <c r="K8" s="4">
        <f t="shared" si="1"/>
        <v>18500</v>
      </c>
    </row>
    <row r="9" spans="1:11" ht="18" customHeight="1" x14ac:dyDescent="0.3">
      <c r="A9" s="6" t="s">
        <v>524</v>
      </c>
      <c r="B9" s="7" t="s">
        <v>303</v>
      </c>
      <c r="C9" s="12" t="s">
        <v>304</v>
      </c>
      <c r="D9" s="7" t="s">
        <v>56</v>
      </c>
      <c r="E9" s="8">
        <f>'Booking Log'!K9</f>
        <v>22500</v>
      </c>
      <c r="F9" s="8">
        <f>'Booking Log'!L9</f>
        <v>5000</v>
      </c>
      <c r="G9" s="8">
        <f>'Booking Log'!M9</f>
        <v>1000</v>
      </c>
      <c r="H9" s="8">
        <f t="shared" si="0"/>
        <v>3180</v>
      </c>
      <c r="I9" s="8">
        <f>'Booking Log'!N9</f>
        <v>26500</v>
      </c>
      <c r="J9" s="8">
        <f>'Booking Log'!O9</f>
        <v>26500</v>
      </c>
      <c r="K9" s="8">
        <f t="shared" si="1"/>
        <v>0</v>
      </c>
    </row>
    <row r="10" spans="1:11" ht="18" customHeight="1" x14ac:dyDescent="0.3">
      <c r="A10" s="2" t="s">
        <v>525</v>
      </c>
      <c r="B10" s="3" t="s">
        <v>306</v>
      </c>
      <c r="C10" s="10" t="s">
        <v>307</v>
      </c>
      <c r="D10" s="3" t="s">
        <v>75</v>
      </c>
      <c r="E10" s="4">
        <f>'Booking Log'!K10</f>
        <v>66000</v>
      </c>
      <c r="F10" s="4">
        <f>'Booking Log'!L10</f>
        <v>10000</v>
      </c>
      <c r="G10" s="4">
        <f>'Booking Log'!M10</f>
        <v>2000</v>
      </c>
      <c r="H10" s="4">
        <f t="shared" si="0"/>
        <v>8880</v>
      </c>
      <c r="I10" s="4">
        <f>'Booking Log'!N10</f>
        <v>74000</v>
      </c>
      <c r="J10" s="4">
        <f>'Booking Log'!O10</f>
        <v>59200</v>
      </c>
      <c r="K10" s="4">
        <f t="shared" si="1"/>
        <v>14800</v>
      </c>
    </row>
    <row r="11" spans="1:11" ht="18" customHeight="1" x14ac:dyDescent="0.3">
      <c r="A11" s="6" t="s">
        <v>526</v>
      </c>
      <c r="B11" s="7" t="s">
        <v>308</v>
      </c>
      <c r="C11" s="12" t="s">
        <v>309</v>
      </c>
      <c r="D11" s="7" t="s">
        <v>69</v>
      </c>
      <c r="E11" s="8">
        <f>'Booking Log'!K11</f>
        <v>24000</v>
      </c>
      <c r="F11" s="8">
        <f>'Booking Log'!L11</f>
        <v>5000</v>
      </c>
      <c r="G11" s="8">
        <f>'Booking Log'!M11</f>
        <v>2500</v>
      </c>
      <c r="H11" s="8">
        <f t="shared" si="0"/>
        <v>3180</v>
      </c>
      <c r="I11" s="8">
        <f>'Booking Log'!N11</f>
        <v>26500</v>
      </c>
      <c r="J11" s="8">
        <f>'Booking Log'!O11</f>
        <v>26500</v>
      </c>
      <c r="K11" s="8">
        <f t="shared" si="1"/>
        <v>0</v>
      </c>
    </row>
    <row r="12" spans="1:11" ht="18" customHeight="1" x14ac:dyDescent="0.3">
      <c r="A12" s="2" t="s">
        <v>527</v>
      </c>
      <c r="B12" s="3" t="s">
        <v>311</v>
      </c>
      <c r="C12" s="10" t="s">
        <v>312</v>
      </c>
      <c r="D12" s="3" t="s">
        <v>53</v>
      </c>
      <c r="E12" s="4">
        <f>'Booking Log'!K12</f>
        <v>22500</v>
      </c>
      <c r="F12" s="4">
        <f>'Booking Log'!L12</f>
        <v>1800</v>
      </c>
      <c r="G12" s="4">
        <f>'Booking Log'!M12</f>
        <v>500</v>
      </c>
      <c r="H12" s="4">
        <f t="shared" si="0"/>
        <v>2856</v>
      </c>
      <c r="I12" s="4">
        <f>'Booking Log'!N12</f>
        <v>23800</v>
      </c>
      <c r="J12" s="4">
        <f>'Booking Log'!O12</f>
        <v>23800</v>
      </c>
      <c r="K12" s="4">
        <f t="shared" si="1"/>
        <v>0</v>
      </c>
    </row>
    <row r="13" spans="1:11" ht="18" customHeight="1" x14ac:dyDescent="0.3">
      <c r="A13" s="6" t="s">
        <v>528</v>
      </c>
      <c r="B13" s="7" t="s">
        <v>313</v>
      </c>
      <c r="C13" s="12" t="s">
        <v>314</v>
      </c>
      <c r="D13" s="7" t="s">
        <v>62</v>
      </c>
      <c r="E13" s="8">
        <f>'Booking Log'!K13</f>
        <v>20800</v>
      </c>
      <c r="F13" s="8">
        <f>'Booking Log'!L13</f>
        <v>3000</v>
      </c>
      <c r="G13" s="8">
        <f>'Booking Log'!M13</f>
        <v>0</v>
      </c>
      <c r="H13" s="8">
        <f t="shared" si="0"/>
        <v>2856</v>
      </c>
      <c r="I13" s="8">
        <f>'Booking Log'!N13</f>
        <v>23800</v>
      </c>
      <c r="J13" s="8">
        <f>'Booking Log'!O13</f>
        <v>0</v>
      </c>
      <c r="K13" s="8">
        <f t="shared" si="1"/>
        <v>23800</v>
      </c>
    </row>
    <row r="14" spans="1:11" ht="18" customHeight="1" x14ac:dyDescent="0.3">
      <c r="A14" s="2" t="s">
        <v>529</v>
      </c>
      <c r="B14" s="3" t="s">
        <v>315</v>
      </c>
      <c r="C14" s="10" t="s">
        <v>316</v>
      </c>
      <c r="D14" s="3" t="s">
        <v>80</v>
      </c>
      <c r="E14" s="4">
        <f>'Booking Log'!K14</f>
        <v>16500</v>
      </c>
      <c r="F14" s="4">
        <f>'Booking Log'!L14</f>
        <v>2500</v>
      </c>
      <c r="G14" s="4">
        <f>'Booking Log'!M14</f>
        <v>0</v>
      </c>
      <c r="H14" s="4">
        <f t="shared" si="0"/>
        <v>2280</v>
      </c>
      <c r="I14" s="4">
        <f>'Booking Log'!N14</f>
        <v>19000</v>
      </c>
      <c r="J14" s="4">
        <f>'Booking Log'!O14</f>
        <v>9500</v>
      </c>
      <c r="K14" s="4">
        <f t="shared" si="1"/>
        <v>9500</v>
      </c>
    </row>
    <row r="15" spans="1:11" ht="18" customHeight="1" x14ac:dyDescent="0.3">
      <c r="A15" s="6" t="s">
        <v>530</v>
      </c>
      <c r="B15" s="7" t="s">
        <v>318</v>
      </c>
      <c r="C15" s="12" t="s">
        <v>319</v>
      </c>
      <c r="D15" s="7" t="s">
        <v>40</v>
      </c>
      <c r="E15" s="8">
        <f>'Booking Log'!K15</f>
        <v>13500</v>
      </c>
      <c r="F15" s="8">
        <f>'Booking Log'!L15</f>
        <v>5400</v>
      </c>
      <c r="G15" s="8">
        <f>'Booking Log'!M15</f>
        <v>800</v>
      </c>
      <c r="H15" s="8">
        <f t="shared" si="0"/>
        <v>2172</v>
      </c>
      <c r="I15" s="8">
        <f>'Booking Log'!N15</f>
        <v>18100</v>
      </c>
      <c r="J15" s="8">
        <f>'Booking Log'!O15</f>
        <v>18100</v>
      </c>
      <c r="K15" s="8">
        <f t="shared" si="1"/>
        <v>0</v>
      </c>
    </row>
    <row r="16" spans="1:11" ht="18" customHeight="1" x14ac:dyDescent="0.3">
      <c r="A16" s="2" t="s">
        <v>531</v>
      </c>
      <c r="B16" s="3" t="s">
        <v>320</v>
      </c>
      <c r="C16" s="10" t="s">
        <v>321</v>
      </c>
      <c r="D16" s="3" t="s">
        <v>66</v>
      </c>
      <c r="E16" s="4">
        <f>'Booking Log'!K16</f>
        <v>21600</v>
      </c>
      <c r="F16" s="4">
        <f>'Booking Log'!L16</f>
        <v>4800</v>
      </c>
      <c r="G16" s="4">
        <f>'Booking Log'!M16</f>
        <v>500</v>
      </c>
      <c r="H16" s="4">
        <f t="shared" si="0"/>
        <v>3108</v>
      </c>
      <c r="I16" s="4">
        <f>'Booking Log'!N16</f>
        <v>25900</v>
      </c>
      <c r="J16" s="4">
        <f>'Booking Log'!O16</f>
        <v>25900</v>
      </c>
      <c r="K16" s="4">
        <f t="shared" si="1"/>
        <v>0</v>
      </c>
    </row>
    <row r="17" spans="1:11" ht="18" customHeight="1" x14ac:dyDescent="0.3">
      <c r="A17" s="6" t="s">
        <v>532</v>
      </c>
      <c r="B17" s="7" t="s">
        <v>323</v>
      </c>
      <c r="C17" s="12" t="s">
        <v>324</v>
      </c>
      <c r="D17" s="7" t="s">
        <v>69</v>
      </c>
      <c r="E17" s="8">
        <f>'Booking Log'!K17</f>
        <v>31500</v>
      </c>
      <c r="F17" s="8">
        <f>'Booking Log'!L17</f>
        <v>10000</v>
      </c>
      <c r="G17" s="8">
        <f>'Booking Log'!M17</f>
        <v>1000</v>
      </c>
      <c r="H17" s="8">
        <f t="shared" si="0"/>
        <v>4860</v>
      </c>
      <c r="I17" s="8">
        <f>'Booking Log'!N17</f>
        <v>40500</v>
      </c>
      <c r="J17" s="8">
        <f>'Booking Log'!O17</f>
        <v>40500</v>
      </c>
      <c r="K17" s="8">
        <f t="shared" si="1"/>
        <v>0</v>
      </c>
    </row>
    <row r="18" spans="1:11" ht="18" customHeight="1" x14ac:dyDescent="0.3">
      <c r="A18" s="2" t="s">
        <v>533</v>
      </c>
      <c r="B18" s="3" t="s">
        <v>325</v>
      </c>
      <c r="C18" s="10" t="s">
        <v>326</v>
      </c>
      <c r="D18" s="3" t="s">
        <v>90</v>
      </c>
      <c r="E18" s="4">
        <f>'Booking Log'!K18</f>
        <v>5400</v>
      </c>
      <c r="F18" s="4">
        <f>'Booking Log'!L18</f>
        <v>0</v>
      </c>
      <c r="G18" s="4">
        <f>'Booking Log'!M18</f>
        <v>0</v>
      </c>
      <c r="H18" s="4">
        <f t="shared" si="0"/>
        <v>648</v>
      </c>
      <c r="I18" s="4">
        <f>'Booking Log'!N18</f>
        <v>5400</v>
      </c>
      <c r="J18" s="4">
        <f>'Booking Log'!O18</f>
        <v>4300</v>
      </c>
      <c r="K18" s="4">
        <f t="shared" si="1"/>
        <v>1100</v>
      </c>
    </row>
    <row r="19" spans="1:11" ht="18" customHeight="1" x14ac:dyDescent="0.3">
      <c r="A19" s="6" t="s">
        <v>534</v>
      </c>
      <c r="B19" s="7" t="s">
        <v>327</v>
      </c>
      <c r="C19" s="12" t="s">
        <v>328</v>
      </c>
      <c r="D19" s="7" t="s">
        <v>75</v>
      </c>
      <c r="E19" s="8">
        <f>'Booking Log'!K19</f>
        <v>84000</v>
      </c>
      <c r="F19" s="8">
        <f>'Booking Log'!L19</f>
        <v>15000</v>
      </c>
      <c r="G19" s="8">
        <f>'Booking Log'!M19</f>
        <v>3000</v>
      </c>
      <c r="H19" s="8">
        <f t="shared" si="0"/>
        <v>11520</v>
      </c>
      <c r="I19" s="8">
        <f>'Booking Log'!N19</f>
        <v>96000</v>
      </c>
      <c r="J19" s="8">
        <f>'Booking Log'!O19</f>
        <v>96000</v>
      </c>
      <c r="K19" s="8">
        <f t="shared" si="1"/>
        <v>0</v>
      </c>
    </row>
    <row r="20" spans="1:11" ht="18" customHeight="1" x14ac:dyDescent="0.3">
      <c r="A20" s="2" t="s">
        <v>535</v>
      </c>
      <c r="B20" s="3" t="s">
        <v>329</v>
      </c>
      <c r="C20" s="10" t="s">
        <v>330</v>
      </c>
      <c r="D20" s="3" t="s">
        <v>45</v>
      </c>
      <c r="E20" s="4">
        <f>'Booking Log'!K20</f>
        <v>7600</v>
      </c>
      <c r="F20" s="4">
        <f>'Booking Log'!L20</f>
        <v>800</v>
      </c>
      <c r="G20" s="4">
        <f>'Booking Log'!M20</f>
        <v>0</v>
      </c>
      <c r="H20" s="4">
        <f t="shared" si="0"/>
        <v>1008</v>
      </c>
      <c r="I20" s="4">
        <f>'Booking Log'!N20</f>
        <v>8400</v>
      </c>
      <c r="J20" s="4">
        <f>'Booking Log'!O20</f>
        <v>8400</v>
      </c>
      <c r="K20" s="4">
        <f t="shared" si="1"/>
        <v>0</v>
      </c>
    </row>
    <row r="21" spans="1:11" ht="18" customHeight="1" x14ac:dyDescent="0.3">
      <c r="A21" s="6" t="s">
        <v>536</v>
      </c>
      <c r="B21" s="7" t="s">
        <v>331</v>
      </c>
      <c r="C21" s="12" t="s">
        <v>332</v>
      </c>
      <c r="D21" s="7" t="s">
        <v>87</v>
      </c>
      <c r="E21" s="8">
        <f>'Booking Log'!K21</f>
        <v>30000</v>
      </c>
      <c r="F21" s="8">
        <f>'Booking Log'!L21</f>
        <v>4500</v>
      </c>
      <c r="G21" s="8">
        <f>'Booking Log'!M21</f>
        <v>500</v>
      </c>
      <c r="H21" s="8">
        <f t="shared" si="0"/>
        <v>4080</v>
      </c>
      <c r="I21" s="8">
        <f>'Booking Log'!N21</f>
        <v>34000</v>
      </c>
      <c r="J21" s="8">
        <f>'Booking Log'!O21</f>
        <v>27200</v>
      </c>
      <c r="K21" s="8">
        <f t="shared" si="1"/>
        <v>6800</v>
      </c>
    </row>
    <row r="22" spans="1:11" ht="18" customHeight="1" x14ac:dyDescent="0.3">
      <c r="A22" s="2" t="s">
        <v>537</v>
      </c>
      <c r="B22" s="3" t="s">
        <v>333</v>
      </c>
      <c r="C22" s="10" t="s">
        <v>334</v>
      </c>
      <c r="D22" s="3" t="s">
        <v>65</v>
      </c>
      <c r="E22" s="4">
        <f>'Booking Log'!K22</f>
        <v>38000</v>
      </c>
      <c r="F22" s="4">
        <f>'Booking Log'!L22</f>
        <v>6000</v>
      </c>
      <c r="G22" s="4">
        <f>'Booking Log'!M22</f>
        <v>0</v>
      </c>
      <c r="H22" s="4">
        <f t="shared" si="0"/>
        <v>5280</v>
      </c>
      <c r="I22" s="4">
        <f>'Booking Log'!N22</f>
        <v>44000</v>
      </c>
      <c r="J22" s="4">
        <f>'Booking Log'!O22</f>
        <v>44000</v>
      </c>
      <c r="K22" s="4">
        <f t="shared" si="1"/>
        <v>0</v>
      </c>
    </row>
    <row r="23" spans="1:11" ht="18" customHeight="1" x14ac:dyDescent="0.3">
      <c r="A23" s="6" t="s">
        <v>538</v>
      </c>
      <c r="B23" s="7" t="s">
        <v>335</v>
      </c>
      <c r="C23" s="12" t="s">
        <v>336</v>
      </c>
      <c r="D23" s="7" t="s">
        <v>16</v>
      </c>
      <c r="E23" s="8">
        <f>'Booking Log'!K23</f>
        <v>7000</v>
      </c>
      <c r="F23" s="8">
        <f>'Booking Log'!L23</f>
        <v>0</v>
      </c>
      <c r="G23" s="8">
        <f>'Booking Log'!M23</f>
        <v>0</v>
      </c>
      <c r="H23" s="8">
        <f t="shared" si="0"/>
        <v>840</v>
      </c>
      <c r="I23" s="8">
        <f>'Booking Log'!N23</f>
        <v>7000</v>
      </c>
      <c r="J23" s="8">
        <f>'Booking Log'!O23</f>
        <v>7000</v>
      </c>
      <c r="K23" s="8">
        <f t="shared" si="1"/>
        <v>0</v>
      </c>
    </row>
    <row r="24" spans="1:11" ht="18" customHeight="1" x14ac:dyDescent="0.3">
      <c r="A24" s="2" t="s">
        <v>539</v>
      </c>
      <c r="B24" s="3" t="s">
        <v>337</v>
      </c>
      <c r="C24" s="10" t="s">
        <v>338</v>
      </c>
      <c r="D24" s="3" t="s">
        <v>57</v>
      </c>
      <c r="E24" s="4">
        <f>'Booking Log'!K24</f>
        <v>15000</v>
      </c>
      <c r="F24" s="4">
        <f>'Booking Log'!L24</f>
        <v>5400</v>
      </c>
      <c r="G24" s="4">
        <f>'Booking Log'!M24</f>
        <v>800</v>
      </c>
      <c r="H24" s="4">
        <f t="shared" si="0"/>
        <v>2352</v>
      </c>
      <c r="I24" s="4">
        <f>'Booking Log'!N24</f>
        <v>19600</v>
      </c>
      <c r="J24" s="4">
        <f>'Booking Log'!O24</f>
        <v>19600</v>
      </c>
      <c r="K24" s="4">
        <f t="shared" si="1"/>
        <v>0</v>
      </c>
    </row>
    <row r="25" spans="1:11" ht="18" customHeight="1" x14ac:dyDescent="0.3">
      <c r="A25" s="6" t="s">
        <v>540</v>
      </c>
      <c r="B25" s="7" t="s">
        <v>339</v>
      </c>
      <c r="C25" s="12" t="s">
        <v>295</v>
      </c>
      <c r="D25" s="7" t="s">
        <v>69</v>
      </c>
      <c r="E25" s="8">
        <f>'Booking Log'!K25</f>
        <v>31500</v>
      </c>
      <c r="F25" s="8">
        <f>'Booking Log'!L25</f>
        <v>8000</v>
      </c>
      <c r="G25" s="8">
        <f>'Booking Log'!M25</f>
        <v>2000</v>
      </c>
      <c r="H25" s="8">
        <f t="shared" si="0"/>
        <v>4500</v>
      </c>
      <c r="I25" s="8">
        <f>'Booking Log'!N25</f>
        <v>37500</v>
      </c>
      <c r="J25" s="8">
        <f>'Booking Log'!O25</f>
        <v>37500</v>
      </c>
      <c r="K25" s="8">
        <f t="shared" si="1"/>
        <v>0</v>
      </c>
    </row>
    <row r="26" spans="1:11" ht="18" customHeight="1" x14ac:dyDescent="0.3">
      <c r="A26" s="2" t="s">
        <v>541</v>
      </c>
      <c r="B26" s="3" t="s">
        <v>340</v>
      </c>
      <c r="C26" s="10" t="s">
        <v>341</v>
      </c>
      <c r="D26" s="3" t="s">
        <v>49</v>
      </c>
      <c r="E26" s="4">
        <f>'Booking Log'!K26</f>
        <v>16000</v>
      </c>
      <c r="F26" s="4">
        <f>'Booking Log'!L26</f>
        <v>5000</v>
      </c>
      <c r="G26" s="4">
        <f>'Booking Log'!M26</f>
        <v>0</v>
      </c>
      <c r="H26" s="4">
        <f t="shared" si="0"/>
        <v>2520</v>
      </c>
      <c r="I26" s="4">
        <f>'Booking Log'!N26</f>
        <v>21000</v>
      </c>
      <c r="J26" s="4">
        <f>'Booking Log'!O26</f>
        <v>21000</v>
      </c>
      <c r="K26" s="4">
        <f t="shared" si="1"/>
        <v>0</v>
      </c>
    </row>
    <row r="27" spans="1:11" ht="18" customHeight="1" x14ac:dyDescent="0.3">
      <c r="A27" s="6" t="s">
        <v>542</v>
      </c>
      <c r="B27" s="7" t="s">
        <v>342</v>
      </c>
      <c r="C27" s="12" t="s">
        <v>343</v>
      </c>
      <c r="D27" s="7" t="s">
        <v>86</v>
      </c>
      <c r="E27" s="8">
        <f>'Booking Log'!K27</f>
        <v>16500</v>
      </c>
      <c r="F27" s="8">
        <f>'Booking Log'!L27</f>
        <v>2000</v>
      </c>
      <c r="G27" s="8">
        <f>'Booking Log'!M27</f>
        <v>0</v>
      </c>
      <c r="H27" s="8">
        <f t="shared" si="0"/>
        <v>2220</v>
      </c>
      <c r="I27" s="8">
        <f>'Booking Log'!N27</f>
        <v>18500</v>
      </c>
      <c r="J27" s="8">
        <f>'Booking Log'!O27</f>
        <v>9200</v>
      </c>
      <c r="K27" s="8">
        <f t="shared" si="1"/>
        <v>9300</v>
      </c>
    </row>
    <row r="28" spans="1:11" ht="18" customHeight="1" x14ac:dyDescent="0.3">
      <c r="A28" s="2" t="s">
        <v>543</v>
      </c>
      <c r="B28" s="3" t="s">
        <v>344</v>
      </c>
      <c r="C28" s="10" t="s">
        <v>345</v>
      </c>
      <c r="D28" s="3" t="s">
        <v>33</v>
      </c>
      <c r="E28" s="4">
        <f>'Booking Log'!K28</f>
        <v>11400</v>
      </c>
      <c r="F28" s="4">
        <f>'Booking Log'!L28</f>
        <v>1800</v>
      </c>
      <c r="G28" s="4">
        <f>'Booking Log'!M28</f>
        <v>0</v>
      </c>
      <c r="H28" s="4">
        <f t="shared" si="0"/>
        <v>1584</v>
      </c>
      <c r="I28" s="4">
        <f>'Booking Log'!N28</f>
        <v>13200</v>
      </c>
      <c r="J28" s="4">
        <f>'Booking Log'!O28</f>
        <v>13200</v>
      </c>
      <c r="K28" s="4">
        <f t="shared" si="1"/>
        <v>0</v>
      </c>
    </row>
    <row r="29" spans="1:11" ht="18" customHeight="1" x14ac:dyDescent="0.3">
      <c r="A29" s="6" t="s">
        <v>544</v>
      </c>
      <c r="B29" s="7" t="s">
        <v>346</v>
      </c>
      <c r="C29" s="12" t="s">
        <v>307</v>
      </c>
      <c r="D29" s="7" t="s">
        <v>75</v>
      </c>
      <c r="E29" s="8">
        <f>'Booking Log'!K29</f>
        <v>66000</v>
      </c>
      <c r="F29" s="8">
        <f>'Booking Log'!L29</f>
        <v>18000</v>
      </c>
      <c r="G29" s="8">
        <f>'Booking Log'!M29</f>
        <v>3000</v>
      </c>
      <c r="H29" s="8">
        <f t="shared" si="0"/>
        <v>9720</v>
      </c>
      <c r="I29" s="8">
        <f>'Booking Log'!N29</f>
        <v>81000</v>
      </c>
      <c r="J29" s="8">
        <f>'Booking Log'!O29</f>
        <v>81000</v>
      </c>
      <c r="K29" s="8">
        <f t="shared" si="1"/>
        <v>0</v>
      </c>
    </row>
    <row r="30" spans="1:11" ht="18" customHeight="1" x14ac:dyDescent="0.3">
      <c r="A30" s="2" t="s">
        <v>545</v>
      </c>
      <c r="B30" s="3" t="s">
        <v>347</v>
      </c>
      <c r="C30" s="10" t="s">
        <v>297</v>
      </c>
      <c r="D30" s="3" t="s">
        <v>53</v>
      </c>
      <c r="E30" s="4">
        <f>'Booking Log'!K30</f>
        <v>15000</v>
      </c>
      <c r="F30" s="4">
        <f>'Booking Log'!L30</f>
        <v>0</v>
      </c>
      <c r="G30" s="4">
        <f>'Booking Log'!M30</f>
        <v>500</v>
      </c>
      <c r="H30" s="4">
        <f t="shared" si="0"/>
        <v>1740</v>
      </c>
      <c r="I30" s="4">
        <f>'Booking Log'!N30</f>
        <v>14500</v>
      </c>
      <c r="J30" s="4">
        <f>'Booking Log'!O30</f>
        <v>14500</v>
      </c>
      <c r="K30" s="4">
        <f t="shared" si="1"/>
        <v>0</v>
      </c>
    </row>
    <row r="31" spans="1:11" ht="18" customHeight="1" x14ac:dyDescent="0.3">
      <c r="A31" s="6" t="s">
        <v>546</v>
      </c>
      <c r="B31" s="7" t="s">
        <v>348</v>
      </c>
      <c r="C31" s="12" t="s">
        <v>349</v>
      </c>
      <c r="D31" s="7" t="s">
        <v>59</v>
      </c>
      <c r="E31" s="8">
        <f>'Booking Log'!K31</f>
        <v>20000</v>
      </c>
      <c r="F31" s="8">
        <f>'Booking Log'!L31</f>
        <v>4000</v>
      </c>
      <c r="G31" s="8">
        <f>'Booking Log'!M31</f>
        <v>0</v>
      </c>
      <c r="H31" s="8">
        <f t="shared" si="0"/>
        <v>2880</v>
      </c>
      <c r="I31" s="8">
        <f>'Booking Log'!N31</f>
        <v>24000</v>
      </c>
      <c r="J31" s="8">
        <f>'Booking Log'!O31</f>
        <v>0</v>
      </c>
      <c r="K31" s="8">
        <f t="shared" si="1"/>
        <v>24000</v>
      </c>
    </row>
    <row r="32" spans="1:11" ht="18" customHeight="1" x14ac:dyDescent="0.3">
      <c r="A32" s="2" t="s">
        <v>547</v>
      </c>
      <c r="B32" s="3" t="s">
        <v>350</v>
      </c>
      <c r="C32" s="10" t="s">
        <v>351</v>
      </c>
      <c r="D32" s="3" t="s">
        <v>47</v>
      </c>
      <c r="E32" s="4">
        <f>'Booking Log'!K32</f>
        <v>6600</v>
      </c>
      <c r="F32" s="4">
        <f>'Booking Log'!L32</f>
        <v>0</v>
      </c>
      <c r="G32" s="4">
        <f>'Booking Log'!M32</f>
        <v>0</v>
      </c>
      <c r="H32" s="4">
        <f t="shared" si="0"/>
        <v>792</v>
      </c>
      <c r="I32" s="4">
        <f>'Booking Log'!N32</f>
        <v>6600</v>
      </c>
      <c r="J32" s="4">
        <f>'Booking Log'!O32</f>
        <v>3300</v>
      </c>
      <c r="K32" s="4">
        <f t="shared" si="1"/>
        <v>3300</v>
      </c>
    </row>
    <row r="33" spans="1:11" ht="18" customHeight="1" x14ac:dyDescent="0.3">
      <c r="A33" s="6" t="s">
        <v>548</v>
      </c>
      <c r="B33" s="7" t="s">
        <v>352</v>
      </c>
      <c r="C33" s="12" t="s">
        <v>353</v>
      </c>
      <c r="D33" s="7" t="s">
        <v>98</v>
      </c>
      <c r="E33" s="8">
        <f>'Booking Log'!K33</f>
        <v>1800</v>
      </c>
      <c r="F33" s="8">
        <f>'Booking Log'!L33</f>
        <v>0</v>
      </c>
      <c r="G33" s="8">
        <f>'Booking Log'!M33</f>
        <v>0</v>
      </c>
      <c r="H33" s="8">
        <f t="shared" si="0"/>
        <v>216</v>
      </c>
      <c r="I33" s="8">
        <f>'Booking Log'!N33</f>
        <v>1800</v>
      </c>
      <c r="J33" s="8">
        <f>'Booking Log'!O33</f>
        <v>1800</v>
      </c>
      <c r="K33" s="8">
        <f t="shared" si="1"/>
        <v>0</v>
      </c>
    </row>
    <row r="34" spans="1:11" ht="18" customHeight="1" x14ac:dyDescent="0.3">
      <c r="A34" s="2" t="s">
        <v>549</v>
      </c>
      <c r="B34" s="3" t="s">
        <v>354</v>
      </c>
      <c r="C34" s="10" t="s">
        <v>319</v>
      </c>
      <c r="D34" s="3" t="s">
        <v>87</v>
      </c>
      <c r="E34" s="4">
        <f>'Booking Log'!K34</f>
        <v>28000</v>
      </c>
      <c r="F34" s="4">
        <f>'Booking Log'!L34</f>
        <v>6000</v>
      </c>
      <c r="G34" s="4">
        <f>'Booking Log'!M34</f>
        <v>1000</v>
      </c>
      <c r="H34" s="4">
        <f t="shared" si="0"/>
        <v>3960</v>
      </c>
      <c r="I34" s="4">
        <f>'Booking Log'!N34</f>
        <v>33000</v>
      </c>
      <c r="J34" s="4">
        <f>'Booking Log'!O34</f>
        <v>23100</v>
      </c>
      <c r="K34" s="4">
        <f t="shared" si="1"/>
        <v>9900</v>
      </c>
    </row>
    <row r="35" spans="1:11" ht="18" customHeight="1" x14ac:dyDescent="0.3">
      <c r="A35" s="6" t="s">
        <v>550</v>
      </c>
      <c r="B35" s="7" t="s">
        <v>356</v>
      </c>
      <c r="C35" s="12" t="s">
        <v>291</v>
      </c>
      <c r="D35" s="7" t="s">
        <v>66</v>
      </c>
      <c r="E35" s="8">
        <f>'Booking Log'!K35</f>
        <v>21600</v>
      </c>
      <c r="F35" s="8">
        <f>'Booking Log'!L35</f>
        <v>4800</v>
      </c>
      <c r="G35" s="8">
        <f>'Booking Log'!M35</f>
        <v>1000</v>
      </c>
      <c r="H35" s="8">
        <f t="shared" si="0"/>
        <v>3048</v>
      </c>
      <c r="I35" s="8">
        <f>'Booking Log'!N35</f>
        <v>25400</v>
      </c>
      <c r="J35" s="8">
        <f>'Booking Log'!O35</f>
        <v>25400</v>
      </c>
      <c r="K35" s="8">
        <f t="shared" si="1"/>
        <v>0</v>
      </c>
    </row>
    <row r="36" spans="1:11" ht="18" customHeight="1" x14ac:dyDescent="0.3">
      <c r="A36" s="2" t="s">
        <v>551</v>
      </c>
      <c r="B36" s="3" t="s">
        <v>357</v>
      </c>
      <c r="C36" s="10" t="s">
        <v>358</v>
      </c>
      <c r="D36" s="3" t="s">
        <v>62</v>
      </c>
      <c r="E36" s="4">
        <f>'Booking Log'!K36</f>
        <v>18000</v>
      </c>
      <c r="F36" s="4">
        <f>'Booking Log'!L36</f>
        <v>6000</v>
      </c>
      <c r="G36" s="4">
        <f>'Booking Log'!M36</f>
        <v>0</v>
      </c>
      <c r="H36" s="4">
        <f t="shared" ref="H36:H67" si="2">ROUND((E36+F36-G36)*0.12,2)</f>
        <v>2880</v>
      </c>
      <c r="I36" s="4">
        <f>'Booking Log'!N36</f>
        <v>24000</v>
      </c>
      <c r="J36" s="4">
        <f>'Booking Log'!O36</f>
        <v>24000</v>
      </c>
      <c r="K36" s="4">
        <f t="shared" ref="K36:K67" si="3">I36-J36</f>
        <v>0</v>
      </c>
    </row>
    <row r="37" spans="1:11" ht="18" customHeight="1" x14ac:dyDescent="0.3">
      <c r="A37" s="6" t="s">
        <v>552</v>
      </c>
      <c r="B37" s="7" t="s">
        <v>359</v>
      </c>
      <c r="C37" s="12" t="s">
        <v>312</v>
      </c>
      <c r="D37" s="7" t="s">
        <v>75</v>
      </c>
      <c r="E37" s="8">
        <f>'Booking Log'!K37</f>
        <v>84000</v>
      </c>
      <c r="F37" s="8">
        <f>'Booking Log'!L37</f>
        <v>12000</v>
      </c>
      <c r="G37" s="8">
        <f>'Booking Log'!M37</f>
        <v>3000</v>
      </c>
      <c r="H37" s="8">
        <f t="shared" si="2"/>
        <v>11160</v>
      </c>
      <c r="I37" s="8">
        <f>'Booking Log'!N37</f>
        <v>93000</v>
      </c>
      <c r="J37" s="8">
        <f>'Booking Log'!O37</f>
        <v>46500</v>
      </c>
      <c r="K37" s="8">
        <f t="shared" si="3"/>
        <v>46500</v>
      </c>
    </row>
    <row r="38" spans="1:11" ht="18" customHeight="1" x14ac:dyDescent="0.3">
      <c r="A38" s="2" t="s">
        <v>553</v>
      </c>
      <c r="B38" s="3" t="s">
        <v>360</v>
      </c>
      <c r="C38" s="10" t="s">
        <v>361</v>
      </c>
      <c r="D38" s="3" t="s">
        <v>65</v>
      </c>
      <c r="E38" s="4">
        <f>'Booking Log'!K38</f>
        <v>38000</v>
      </c>
      <c r="F38" s="4">
        <f>'Booking Log'!L38</f>
        <v>5000</v>
      </c>
      <c r="G38" s="4">
        <f>'Booking Log'!M38</f>
        <v>0</v>
      </c>
      <c r="H38" s="4">
        <f t="shared" si="2"/>
        <v>5160</v>
      </c>
      <c r="I38" s="4">
        <f>'Booking Log'!N38</f>
        <v>43000</v>
      </c>
      <c r="J38" s="4">
        <f>'Booking Log'!O38</f>
        <v>30100</v>
      </c>
      <c r="K38" s="4">
        <f t="shared" si="3"/>
        <v>12900</v>
      </c>
    </row>
    <row r="39" spans="1:11" ht="18" customHeight="1" x14ac:dyDescent="0.3">
      <c r="A39" s="6" t="s">
        <v>554</v>
      </c>
      <c r="B39" s="7" t="s">
        <v>362</v>
      </c>
      <c r="C39" s="12" t="s">
        <v>363</v>
      </c>
      <c r="D39" s="7" t="s">
        <v>40</v>
      </c>
      <c r="E39" s="8">
        <f>'Booking Log'!K39</f>
        <v>18000</v>
      </c>
      <c r="F39" s="8">
        <f>'Booking Log'!L39</f>
        <v>5400</v>
      </c>
      <c r="G39" s="8">
        <f>'Booking Log'!M39</f>
        <v>800</v>
      </c>
      <c r="H39" s="8">
        <f t="shared" si="2"/>
        <v>2712</v>
      </c>
      <c r="I39" s="8">
        <f>'Booking Log'!N39</f>
        <v>22600</v>
      </c>
      <c r="J39" s="8">
        <f>'Booking Log'!O39</f>
        <v>15800</v>
      </c>
      <c r="K39" s="8">
        <f t="shared" si="3"/>
        <v>6800</v>
      </c>
    </row>
    <row r="40" spans="1:11" ht="18" customHeight="1" x14ac:dyDescent="0.3">
      <c r="A40" s="2" t="s">
        <v>555</v>
      </c>
      <c r="B40" s="3" t="s">
        <v>364</v>
      </c>
      <c r="C40" s="10" t="s">
        <v>304</v>
      </c>
      <c r="D40" s="3" t="s">
        <v>69</v>
      </c>
      <c r="E40" s="4">
        <f>'Booking Log'!K40</f>
        <v>45000</v>
      </c>
      <c r="F40" s="4">
        <f>'Booking Log'!L40</f>
        <v>8000</v>
      </c>
      <c r="G40" s="4">
        <f>'Booking Log'!M40</f>
        <v>2000</v>
      </c>
      <c r="H40" s="4">
        <f t="shared" si="2"/>
        <v>6120</v>
      </c>
      <c r="I40" s="4">
        <f>'Booking Log'!N40</f>
        <v>51000</v>
      </c>
      <c r="J40" s="4">
        <f>'Booking Log'!O40</f>
        <v>0</v>
      </c>
      <c r="K40" s="4">
        <f t="shared" si="3"/>
        <v>51000</v>
      </c>
    </row>
    <row r="41" spans="1:11" ht="18" customHeight="1" x14ac:dyDescent="0.3">
      <c r="A41" s="6" t="s">
        <v>556</v>
      </c>
      <c r="B41" s="7" t="s">
        <v>365</v>
      </c>
      <c r="C41" s="12" t="s">
        <v>366</v>
      </c>
      <c r="D41" s="7" t="s">
        <v>94</v>
      </c>
      <c r="E41" s="8">
        <f>'Booking Log'!K41</f>
        <v>9600</v>
      </c>
      <c r="F41" s="8">
        <f>'Booking Log'!L41</f>
        <v>0</v>
      </c>
      <c r="G41" s="8">
        <f>'Booking Log'!M41</f>
        <v>0</v>
      </c>
      <c r="H41" s="8">
        <f t="shared" si="2"/>
        <v>1152</v>
      </c>
      <c r="I41" s="8">
        <f>'Booking Log'!N41</f>
        <v>9600</v>
      </c>
      <c r="J41" s="8">
        <f>'Booking Log'!O41</f>
        <v>9600</v>
      </c>
      <c r="K41" s="8">
        <f t="shared" si="3"/>
        <v>0</v>
      </c>
    </row>
    <row r="42" spans="1:11" ht="18" customHeight="1" x14ac:dyDescent="0.3">
      <c r="A42" s="2" t="s">
        <v>557</v>
      </c>
      <c r="B42" s="3" t="s">
        <v>367</v>
      </c>
      <c r="C42" s="10" t="s">
        <v>368</v>
      </c>
      <c r="D42" s="3" t="s">
        <v>45</v>
      </c>
      <c r="E42" s="4">
        <f>'Booking Log'!K42</f>
        <v>5600</v>
      </c>
      <c r="F42" s="4">
        <f>'Booking Log'!L42</f>
        <v>0</v>
      </c>
      <c r="G42" s="4">
        <f>'Booking Log'!M42</f>
        <v>0</v>
      </c>
      <c r="H42" s="4">
        <f t="shared" si="2"/>
        <v>672</v>
      </c>
      <c r="I42" s="4">
        <f>'Booking Log'!N42</f>
        <v>5600</v>
      </c>
      <c r="J42" s="4">
        <f>'Booking Log'!O42</f>
        <v>5600</v>
      </c>
      <c r="K42" s="4">
        <f t="shared" si="3"/>
        <v>0</v>
      </c>
    </row>
    <row r="43" spans="1:11" ht="18" customHeight="1" x14ac:dyDescent="0.3">
      <c r="A43" s="6" t="s">
        <v>558</v>
      </c>
      <c r="B43" s="7" t="s">
        <v>369</v>
      </c>
      <c r="C43" s="12" t="s">
        <v>309</v>
      </c>
      <c r="D43" s="7" t="s">
        <v>75</v>
      </c>
      <c r="E43" s="8">
        <f>'Booking Log'!K43</f>
        <v>72000</v>
      </c>
      <c r="F43" s="8">
        <f>'Booking Log'!L43</f>
        <v>20000</v>
      </c>
      <c r="G43" s="8">
        <f>'Booking Log'!M43</f>
        <v>5000</v>
      </c>
      <c r="H43" s="8">
        <f t="shared" si="2"/>
        <v>10440</v>
      </c>
      <c r="I43" s="8">
        <f>'Booking Log'!N43</f>
        <v>87000</v>
      </c>
      <c r="J43" s="8">
        <f>'Booking Log'!O43</f>
        <v>43500</v>
      </c>
      <c r="K43" s="8">
        <f t="shared" si="3"/>
        <v>43500</v>
      </c>
    </row>
    <row r="44" spans="1:11" ht="18" customHeight="1" x14ac:dyDescent="0.3">
      <c r="A44" s="2" t="s">
        <v>559</v>
      </c>
      <c r="B44" s="3" t="s">
        <v>370</v>
      </c>
      <c r="C44" s="10" t="s">
        <v>371</v>
      </c>
      <c r="D44" s="3" t="s">
        <v>31</v>
      </c>
      <c r="E44" s="4">
        <f>'Booking Log'!K44</f>
        <v>5600</v>
      </c>
      <c r="F44" s="4">
        <f>'Booking Log'!L44</f>
        <v>0</v>
      </c>
      <c r="G44" s="4">
        <f>'Booking Log'!M44</f>
        <v>0</v>
      </c>
      <c r="H44" s="4">
        <f t="shared" si="2"/>
        <v>672</v>
      </c>
      <c r="I44" s="4">
        <f>'Booking Log'!N44</f>
        <v>5600</v>
      </c>
      <c r="J44" s="4">
        <f>'Booking Log'!O44</f>
        <v>3900</v>
      </c>
      <c r="K44" s="4">
        <f t="shared" si="3"/>
        <v>1700</v>
      </c>
    </row>
    <row r="45" spans="1:11" ht="18" customHeight="1" x14ac:dyDescent="0.3">
      <c r="A45" s="6" t="s">
        <v>560</v>
      </c>
      <c r="B45" s="7" t="s">
        <v>372</v>
      </c>
      <c r="C45" s="12" t="s">
        <v>324</v>
      </c>
      <c r="D45" s="7" t="s">
        <v>53</v>
      </c>
      <c r="E45" s="8">
        <f>'Booking Log'!K45</f>
        <v>19500</v>
      </c>
      <c r="F45" s="8">
        <f>'Booking Log'!L45</f>
        <v>1800</v>
      </c>
      <c r="G45" s="8">
        <f>'Booking Log'!M45</f>
        <v>500</v>
      </c>
      <c r="H45" s="8">
        <f t="shared" si="2"/>
        <v>2496</v>
      </c>
      <c r="I45" s="8">
        <f>'Booking Log'!N45</f>
        <v>20800</v>
      </c>
      <c r="J45" s="8">
        <f>'Booking Log'!O45</f>
        <v>20800</v>
      </c>
      <c r="K45" s="8">
        <f t="shared" si="3"/>
        <v>0</v>
      </c>
    </row>
    <row r="46" spans="1:11" ht="18" customHeight="1" x14ac:dyDescent="0.3">
      <c r="A46" s="2" t="s">
        <v>561</v>
      </c>
      <c r="B46" s="3" t="s">
        <v>373</v>
      </c>
      <c r="C46" s="10" t="s">
        <v>295</v>
      </c>
      <c r="D46" s="3" t="s">
        <v>75</v>
      </c>
      <c r="E46" s="4">
        <f>'Booking Log'!K46</f>
        <v>88000</v>
      </c>
      <c r="F46" s="4">
        <f>'Booking Log'!L46</f>
        <v>25000</v>
      </c>
      <c r="G46" s="4">
        <f>'Booking Log'!M46</f>
        <v>5000</v>
      </c>
      <c r="H46" s="4">
        <f t="shared" si="2"/>
        <v>12960</v>
      </c>
      <c r="I46" s="4">
        <f>'Booking Log'!N46</f>
        <v>108000</v>
      </c>
      <c r="J46" s="4">
        <f>'Booking Log'!O46</f>
        <v>86400</v>
      </c>
      <c r="K46" s="4">
        <f t="shared" si="3"/>
        <v>21600</v>
      </c>
    </row>
    <row r="47" spans="1:11" ht="18" customHeight="1" x14ac:dyDescent="0.3">
      <c r="A47" s="6" t="s">
        <v>562</v>
      </c>
      <c r="B47" s="7" t="s">
        <v>374</v>
      </c>
      <c r="C47" s="12" t="s">
        <v>321</v>
      </c>
      <c r="D47" s="7" t="s">
        <v>87</v>
      </c>
      <c r="E47" s="8">
        <f>'Booking Log'!K47</f>
        <v>25500</v>
      </c>
      <c r="F47" s="8">
        <f>'Booking Log'!L47</f>
        <v>3000</v>
      </c>
      <c r="G47" s="8">
        <f>'Booking Log'!M47</f>
        <v>500</v>
      </c>
      <c r="H47" s="8">
        <f t="shared" si="2"/>
        <v>3360</v>
      </c>
      <c r="I47" s="8">
        <f>'Booking Log'!N47</f>
        <v>28000</v>
      </c>
      <c r="J47" s="8">
        <f>'Booking Log'!O47</f>
        <v>0</v>
      </c>
      <c r="K47" s="8">
        <f t="shared" si="3"/>
        <v>28000</v>
      </c>
    </row>
    <row r="48" spans="1:11" ht="18" customHeight="1" x14ac:dyDescent="0.3">
      <c r="A48" s="2" t="s">
        <v>563</v>
      </c>
      <c r="B48" s="3" t="s">
        <v>375</v>
      </c>
      <c r="C48" s="10" t="s">
        <v>328</v>
      </c>
      <c r="D48" s="3" t="s">
        <v>69</v>
      </c>
      <c r="E48" s="4">
        <f>'Booking Log'!K48</f>
        <v>36000</v>
      </c>
      <c r="F48" s="4">
        <f>'Booking Log'!L48</f>
        <v>8000</v>
      </c>
      <c r="G48" s="4">
        <f>'Booking Log'!M48</f>
        <v>2000</v>
      </c>
      <c r="H48" s="4">
        <f t="shared" si="2"/>
        <v>5040</v>
      </c>
      <c r="I48" s="4">
        <f>'Booking Log'!N48</f>
        <v>42000</v>
      </c>
      <c r="J48" s="4">
        <f>'Booking Log'!O48</f>
        <v>42000</v>
      </c>
      <c r="K48" s="4">
        <f t="shared" si="3"/>
        <v>0</v>
      </c>
    </row>
    <row r="49" spans="1:11" ht="18" customHeight="1" x14ac:dyDescent="0.3">
      <c r="A49" s="6" t="s">
        <v>564</v>
      </c>
      <c r="B49" s="7" t="s">
        <v>376</v>
      </c>
      <c r="C49" s="12" t="s">
        <v>377</v>
      </c>
      <c r="D49" s="7" t="s">
        <v>103</v>
      </c>
      <c r="E49" s="8">
        <f>'Booking Log'!K49</f>
        <v>1400</v>
      </c>
      <c r="F49" s="8">
        <f>'Booking Log'!L49</f>
        <v>0</v>
      </c>
      <c r="G49" s="8">
        <f>'Booking Log'!M49</f>
        <v>0</v>
      </c>
      <c r="H49" s="8">
        <f t="shared" si="2"/>
        <v>168</v>
      </c>
      <c r="I49" s="8">
        <f>'Booking Log'!N49</f>
        <v>1400</v>
      </c>
      <c r="J49" s="8">
        <f>'Booking Log'!O49</f>
        <v>1400</v>
      </c>
      <c r="K49" s="8">
        <f t="shared" si="3"/>
        <v>0</v>
      </c>
    </row>
    <row r="50" spans="1:11" ht="18" customHeight="1" x14ac:dyDescent="0.3">
      <c r="A50" s="2" t="s">
        <v>565</v>
      </c>
      <c r="B50" s="3" t="s">
        <v>378</v>
      </c>
      <c r="C50" s="10" t="s">
        <v>336</v>
      </c>
      <c r="D50" s="3" t="s">
        <v>31</v>
      </c>
      <c r="E50" s="4">
        <f>'Booking Log'!K50</f>
        <v>6600</v>
      </c>
      <c r="F50" s="4">
        <f>'Booking Log'!L50</f>
        <v>2000</v>
      </c>
      <c r="G50" s="4">
        <f>'Booking Log'!M50</f>
        <v>0</v>
      </c>
      <c r="H50" s="4">
        <f t="shared" si="2"/>
        <v>1032</v>
      </c>
      <c r="I50" s="4">
        <f>'Booking Log'!N50</f>
        <v>8600</v>
      </c>
      <c r="J50" s="4">
        <f>'Booking Log'!O50</f>
        <v>8600</v>
      </c>
      <c r="K50" s="4">
        <f t="shared" si="3"/>
        <v>0</v>
      </c>
    </row>
    <row r="51" spans="1:11" ht="18" customHeight="1" x14ac:dyDescent="0.3">
      <c r="A51" s="6" t="s">
        <v>566</v>
      </c>
      <c r="B51" s="7" t="s">
        <v>379</v>
      </c>
      <c r="C51" s="12" t="s">
        <v>297</v>
      </c>
      <c r="D51" s="7" t="s">
        <v>75</v>
      </c>
      <c r="E51" s="8">
        <f>'Booking Log'!K51</f>
        <v>54000</v>
      </c>
      <c r="F51" s="8">
        <f>'Booking Log'!L51</f>
        <v>20000</v>
      </c>
      <c r="G51" s="8">
        <f>'Booking Log'!M51</f>
        <v>5000</v>
      </c>
      <c r="H51" s="8">
        <f t="shared" si="2"/>
        <v>8280</v>
      </c>
      <c r="I51" s="8">
        <f>'Booking Log'!N51</f>
        <v>69000</v>
      </c>
      <c r="J51" s="8">
        <f>'Booking Log'!O51</f>
        <v>69000</v>
      </c>
      <c r="K51" s="8">
        <f t="shared" si="3"/>
        <v>0</v>
      </c>
    </row>
    <row r="52" spans="1:11" ht="18" customHeight="1" x14ac:dyDescent="0.3">
      <c r="A52" s="2" t="s">
        <v>567</v>
      </c>
      <c r="B52" s="3" t="s">
        <v>380</v>
      </c>
      <c r="C52" s="10" t="s">
        <v>338</v>
      </c>
      <c r="D52" s="3" t="s">
        <v>57</v>
      </c>
      <c r="E52" s="4">
        <f>'Booking Log'!K52</f>
        <v>15000</v>
      </c>
      <c r="F52" s="4">
        <f>'Booking Log'!L52</f>
        <v>5400</v>
      </c>
      <c r="G52" s="4">
        <f>'Booking Log'!M52</f>
        <v>800</v>
      </c>
      <c r="H52" s="4">
        <f t="shared" si="2"/>
        <v>2352</v>
      </c>
      <c r="I52" s="4">
        <f>'Booking Log'!N52</f>
        <v>19600</v>
      </c>
      <c r="J52" s="4">
        <f>'Booking Log'!O52</f>
        <v>0</v>
      </c>
      <c r="K52" s="4">
        <f t="shared" si="3"/>
        <v>19600</v>
      </c>
    </row>
    <row r="53" spans="1:11" ht="18" customHeight="1" x14ac:dyDescent="0.3">
      <c r="A53" s="6" t="s">
        <v>568</v>
      </c>
      <c r="B53" s="7" t="s">
        <v>381</v>
      </c>
      <c r="C53" s="12" t="s">
        <v>314</v>
      </c>
      <c r="D53" s="7" t="s">
        <v>62</v>
      </c>
      <c r="E53" s="8">
        <f>'Booking Log'!K53</f>
        <v>18000</v>
      </c>
      <c r="F53" s="8">
        <f>'Booking Log'!L53</f>
        <v>4000</v>
      </c>
      <c r="G53" s="8">
        <f>'Booking Log'!M53</f>
        <v>0</v>
      </c>
      <c r="H53" s="8">
        <f t="shared" si="2"/>
        <v>2640</v>
      </c>
      <c r="I53" s="8">
        <f>'Booking Log'!N53</f>
        <v>22000</v>
      </c>
      <c r="J53" s="8">
        <f>'Booking Log'!O53</f>
        <v>0</v>
      </c>
      <c r="K53" s="8">
        <f t="shared" si="3"/>
        <v>22000</v>
      </c>
    </row>
    <row r="54" spans="1:11" ht="18" customHeight="1" x14ac:dyDescent="0.3">
      <c r="A54" s="2" t="s">
        <v>569</v>
      </c>
      <c r="B54" s="3" t="s">
        <v>382</v>
      </c>
      <c r="C54" s="10" t="s">
        <v>307</v>
      </c>
      <c r="D54" s="3" t="s">
        <v>69</v>
      </c>
      <c r="E54" s="4">
        <f>'Booking Log'!K54</f>
        <v>31500</v>
      </c>
      <c r="F54" s="4">
        <f>'Booking Log'!L54</f>
        <v>0</v>
      </c>
      <c r="G54" s="4">
        <f>'Booking Log'!M54</f>
        <v>1500</v>
      </c>
      <c r="H54" s="4">
        <f t="shared" si="2"/>
        <v>3600</v>
      </c>
      <c r="I54" s="4">
        <f>'Booking Log'!N54</f>
        <v>30000</v>
      </c>
      <c r="J54" s="4">
        <f>'Booking Log'!O54</f>
        <v>30000</v>
      </c>
      <c r="K54" s="4">
        <f t="shared" si="3"/>
        <v>0</v>
      </c>
    </row>
    <row r="55" spans="1:11" ht="18" customHeight="1" x14ac:dyDescent="0.3">
      <c r="A55" s="6" t="s">
        <v>570</v>
      </c>
      <c r="B55" s="7" t="s">
        <v>383</v>
      </c>
      <c r="C55" s="12" t="s">
        <v>291</v>
      </c>
      <c r="D55" s="7" t="s">
        <v>75</v>
      </c>
      <c r="E55" s="8">
        <f>'Booking Log'!K55</f>
        <v>84000</v>
      </c>
      <c r="F55" s="8">
        <f>'Booking Log'!L55</f>
        <v>15000</v>
      </c>
      <c r="G55" s="8">
        <f>'Booking Log'!M55</f>
        <v>5000</v>
      </c>
      <c r="H55" s="8">
        <f t="shared" si="2"/>
        <v>11280</v>
      </c>
      <c r="I55" s="8">
        <f>'Booking Log'!N55</f>
        <v>94000</v>
      </c>
      <c r="J55" s="8">
        <f>'Booking Log'!O55</f>
        <v>0</v>
      </c>
      <c r="K55" s="8">
        <f t="shared" si="3"/>
        <v>94000</v>
      </c>
    </row>
    <row r="56" spans="1:11" ht="18" customHeight="1" x14ac:dyDescent="0.3">
      <c r="A56" s="2" t="s">
        <v>571</v>
      </c>
      <c r="B56" s="3" t="s">
        <v>384</v>
      </c>
      <c r="C56" s="10" t="s">
        <v>385</v>
      </c>
      <c r="D56" s="3" t="s">
        <v>45</v>
      </c>
      <c r="E56" s="4">
        <f>'Booking Log'!K56</f>
        <v>7600</v>
      </c>
      <c r="F56" s="4">
        <f>'Booking Log'!L56</f>
        <v>0</v>
      </c>
      <c r="G56" s="4">
        <f>'Booking Log'!M56</f>
        <v>0</v>
      </c>
      <c r="H56" s="4">
        <f t="shared" si="2"/>
        <v>912</v>
      </c>
      <c r="I56" s="4">
        <f>'Booking Log'!N56</f>
        <v>7600</v>
      </c>
      <c r="J56" s="4">
        <f>'Booking Log'!O56</f>
        <v>7600</v>
      </c>
      <c r="K56" s="4">
        <f t="shared" si="3"/>
        <v>0</v>
      </c>
    </row>
    <row r="57" spans="1:11" ht="18" customHeight="1" x14ac:dyDescent="0.3">
      <c r="A57" s="6" t="s">
        <v>572</v>
      </c>
      <c r="B57" s="7" t="s">
        <v>386</v>
      </c>
      <c r="C57" s="12" t="s">
        <v>312</v>
      </c>
      <c r="D57" s="7" t="s">
        <v>66</v>
      </c>
      <c r="E57" s="8">
        <f>'Booking Log'!K57</f>
        <v>29400</v>
      </c>
      <c r="F57" s="8">
        <f>'Booking Log'!L57</f>
        <v>8000</v>
      </c>
      <c r="G57" s="8">
        <f>'Booking Log'!M57</f>
        <v>2000</v>
      </c>
      <c r="H57" s="8">
        <f t="shared" si="2"/>
        <v>4248</v>
      </c>
      <c r="I57" s="8">
        <f>'Booking Log'!N57</f>
        <v>35400</v>
      </c>
      <c r="J57" s="8">
        <f>'Booking Log'!O57</f>
        <v>35400</v>
      </c>
      <c r="K57" s="8">
        <f t="shared" si="3"/>
        <v>0</v>
      </c>
    </row>
    <row r="58" spans="1:11" ht="18" customHeight="1" x14ac:dyDescent="0.3">
      <c r="A58" s="2" t="s">
        <v>573</v>
      </c>
      <c r="B58" s="3" t="s">
        <v>387</v>
      </c>
      <c r="C58" s="10" t="s">
        <v>295</v>
      </c>
      <c r="D58" s="3" t="s">
        <v>75</v>
      </c>
      <c r="E58" s="4">
        <f>'Booking Log'!K58</f>
        <v>196000</v>
      </c>
      <c r="F58" s="4">
        <f>'Booking Log'!L58</f>
        <v>35000</v>
      </c>
      <c r="G58" s="4">
        <f>'Booking Log'!M58</f>
        <v>10000</v>
      </c>
      <c r="H58" s="4">
        <f t="shared" si="2"/>
        <v>26520</v>
      </c>
      <c r="I58" s="4">
        <f>'Booking Log'!N58</f>
        <v>221000</v>
      </c>
      <c r="J58" s="4">
        <f>'Booking Log'!O58</f>
        <v>221000</v>
      </c>
      <c r="K58" s="4">
        <f t="shared" si="3"/>
        <v>0</v>
      </c>
    </row>
    <row r="59" spans="1:11" ht="18" customHeight="1" x14ac:dyDescent="0.3">
      <c r="A59" s="6" t="s">
        <v>574</v>
      </c>
      <c r="B59" s="7" t="s">
        <v>388</v>
      </c>
      <c r="C59" s="12" t="s">
        <v>309</v>
      </c>
      <c r="D59" s="7" t="s">
        <v>69</v>
      </c>
      <c r="E59" s="8">
        <f>'Booking Log'!K59</f>
        <v>45000</v>
      </c>
      <c r="F59" s="8">
        <f>'Booking Log'!L59</f>
        <v>10000</v>
      </c>
      <c r="G59" s="8">
        <f>'Booking Log'!M59</f>
        <v>3000</v>
      </c>
      <c r="H59" s="8">
        <f t="shared" si="2"/>
        <v>6240</v>
      </c>
      <c r="I59" s="8">
        <f>'Booking Log'!N59</f>
        <v>52000</v>
      </c>
      <c r="J59" s="8">
        <f>'Booking Log'!O59</f>
        <v>0</v>
      </c>
      <c r="K59" s="8">
        <f t="shared" si="3"/>
        <v>52000</v>
      </c>
    </row>
    <row r="60" spans="1:11" ht="18" customHeight="1" x14ac:dyDescent="0.3">
      <c r="A60" s="2" t="s">
        <v>575</v>
      </c>
      <c r="B60" s="3" t="s">
        <v>389</v>
      </c>
      <c r="C60" s="10" t="s">
        <v>304</v>
      </c>
      <c r="D60" s="3" t="s">
        <v>53</v>
      </c>
      <c r="E60" s="4">
        <f>'Booking Log'!K60</f>
        <v>27000</v>
      </c>
      <c r="F60" s="4">
        <f>'Booking Log'!L60</f>
        <v>0</v>
      </c>
      <c r="G60" s="4">
        <f>'Booking Log'!M60</f>
        <v>1000</v>
      </c>
      <c r="H60" s="4">
        <f t="shared" si="2"/>
        <v>3120</v>
      </c>
      <c r="I60" s="4">
        <f>'Booking Log'!N60</f>
        <v>26000</v>
      </c>
      <c r="J60" s="4">
        <f>'Booking Log'!O60</f>
        <v>26000</v>
      </c>
      <c r="K60" s="4">
        <f t="shared" si="3"/>
        <v>0</v>
      </c>
    </row>
    <row r="61" spans="1:11" ht="18" customHeight="1" x14ac:dyDescent="0.3">
      <c r="A61" s="6" t="s">
        <v>576</v>
      </c>
      <c r="B61" s="7" t="s">
        <v>390</v>
      </c>
      <c r="C61" s="12" t="s">
        <v>297</v>
      </c>
      <c r="D61" s="7" t="s">
        <v>87</v>
      </c>
      <c r="E61" s="8">
        <f>'Booking Log'!K61</f>
        <v>30000</v>
      </c>
      <c r="F61" s="8">
        <f>'Booking Log'!L61</f>
        <v>8000</v>
      </c>
      <c r="G61" s="8">
        <f>'Booking Log'!M61</f>
        <v>2000</v>
      </c>
      <c r="H61" s="8">
        <f t="shared" si="2"/>
        <v>4320</v>
      </c>
      <c r="I61" s="8">
        <f>'Booking Log'!N61</f>
        <v>36000</v>
      </c>
      <c r="J61" s="8">
        <f>'Booking Log'!O61</f>
        <v>36000</v>
      </c>
      <c r="K61" s="8">
        <f t="shared" si="3"/>
        <v>0</v>
      </c>
    </row>
    <row r="62" spans="1:11" ht="18" customHeight="1" x14ac:dyDescent="0.3">
      <c r="A62" s="2" t="s">
        <v>577</v>
      </c>
      <c r="B62" s="3" t="s">
        <v>391</v>
      </c>
      <c r="C62" s="10" t="s">
        <v>328</v>
      </c>
      <c r="D62" s="3" t="s">
        <v>75</v>
      </c>
      <c r="E62" s="4">
        <f>'Booking Log'!K62</f>
        <v>54000</v>
      </c>
      <c r="F62" s="4">
        <f>'Booking Log'!L62</f>
        <v>12000</v>
      </c>
      <c r="G62" s="4">
        <f>'Booking Log'!M62</f>
        <v>3000</v>
      </c>
      <c r="H62" s="4">
        <f t="shared" si="2"/>
        <v>7560</v>
      </c>
      <c r="I62" s="4">
        <f>'Booking Log'!N62</f>
        <v>63000</v>
      </c>
      <c r="J62" s="4">
        <f>'Booking Log'!O62</f>
        <v>63000</v>
      </c>
      <c r="K62" s="4">
        <f t="shared" si="3"/>
        <v>0</v>
      </c>
    </row>
    <row r="63" spans="1:11" ht="18" customHeight="1" x14ac:dyDescent="0.3">
      <c r="A63" s="6" t="s">
        <v>578</v>
      </c>
      <c r="B63" s="7" t="s">
        <v>392</v>
      </c>
      <c r="C63" s="12" t="s">
        <v>307</v>
      </c>
      <c r="D63" s="7" t="s">
        <v>69</v>
      </c>
      <c r="E63" s="8">
        <f>'Booking Log'!K63</f>
        <v>31500</v>
      </c>
      <c r="F63" s="8">
        <f>'Booking Log'!L63</f>
        <v>8000</v>
      </c>
      <c r="G63" s="8">
        <f>'Booking Log'!M63</f>
        <v>2000</v>
      </c>
      <c r="H63" s="8">
        <f t="shared" si="2"/>
        <v>4500</v>
      </c>
      <c r="I63" s="8">
        <f>'Booking Log'!N63</f>
        <v>37500</v>
      </c>
      <c r="J63" s="8">
        <f>'Booking Log'!O63</f>
        <v>26200</v>
      </c>
      <c r="K63" s="8">
        <f t="shared" si="3"/>
        <v>11300</v>
      </c>
    </row>
    <row r="64" spans="1:11" ht="18" customHeight="1" x14ac:dyDescent="0.3">
      <c r="A64" s="2" t="s">
        <v>579</v>
      </c>
      <c r="B64" s="3" t="s">
        <v>393</v>
      </c>
      <c r="C64" s="10" t="s">
        <v>321</v>
      </c>
      <c r="D64" s="3" t="s">
        <v>66</v>
      </c>
      <c r="E64" s="4">
        <f>'Booking Log'!K64</f>
        <v>21600</v>
      </c>
      <c r="F64" s="4">
        <f>'Booking Log'!L64</f>
        <v>3000</v>
      </c>
      <c r="G64" s="4">
        <f>'Booking Log'!M64</f>
        <v>500</v>
      </c>
      <c r="H64" s="4">
        <f t="shared" si="2"/>
        <v>2892</v>
      </c>
      <c r="I64" s="4">
        <f>'Booking Log'!N64</f>
        <v>24100</v>
      </c>
      <c r="J64" s="4">
        <f>'Booking Log'!O64</f>
        <v>24100</v>
      </c>
      <c r="K64" s="4">
        <f t="shared" si="3"/>
        <v>0</v>
      </c>
    </row>
    <row r="65" spans="1:11" ht="18" customHeight="1" x14ac:dyDescent="0.3">
      <c r="A65" s="6" t="s">
        <v>580</v>
      </c>
      <c r="B65" s="7" t="s">
        <v>394</v>
      </c>
      <c r="C65" s="12" t="s">
        <v>319</v>
      </c>
      <c r="D65" s="7" t="s">
        <v>40</v>
      </c>
      <c r="E65" s="8">
        <f>'Booking Log'!K65</f>
        <v>13500</v>
      </c>
      <c r="F65" s="8">
        <f>'Booking Log'!L65</f>
        <v>5400</v>
      </c>
      <c r="G65" s="8">
        <f>'Booking Log'!M65</f>
        <v>800</v>
      </c>
      <c r="H65" s="8">
        <f t="shared" si="2"/>
        <v>2172</v>
      </c>
      <c r="I65" s="8">
        <f>'Booking Log'!N65</f>
        <v>18100</v>
      </c>
      <c r="J65" s="8">
        <f>'Booking Log'!O65</f>
        <v>9000</v>
      </c>
      <c r="K65" s="8">
        <f t="shared" si="3"/>
        <v>9100</v>
      </c>
    </row>
    <row r="66" spans="1:11" ht="18" customHeight="1" x14ac:dyDescent="0.3">
      <c r="A66" s="2" t="s">
        <v>581</v>
      </c>
      <c r="B66" s="3" t="s">
        <v>395</v>
      </c>
      <c r="C66" s="10" t="s">
        <v>345</v>
      </c>
      <c r="D66" s="3" t="s">
        <v>48</v>
      </c>
      <c r="E66" s="4">
        <f>'Booking Log'!K66</f>
        <v>12000</v>
      </c>
      <c r="F66" s="4">
        <f>'Booking Log'!L66</f>
        <v>1800</v>
      </c>
      <c r="G66" s="4">
        <f>'Booking Log'!M66</f>
        <v>0</v>
      </c>
      <c r="H66" s="4">
        <f t="shared" si="2"/>
        <v>1656</v>
      </c>
      <c r="I66" s="4">
        <f>'Booking Log'!N66</f>
        <v>13800</v>
      </c>
      <c r="J66" s="4">
        <f>'Booking Log'!O66</f>
        <v>13800</v>
      </c>
      <c r="K66" s="4">
        <f t="shared" si="3"/>
        <v>0</v>
      </c>
    </row>
    <row r="67" spans="1:11" ht="18" customHeight="1" x14ac:dyDescent="0.3">
      <c r="A67" s="6" t="s">
        <v>582</v>
      </c>
      <c r="B67" s="7" t="s">
        <v>396</v>
      </c>
      <c r="C67" s="12" t="s">
        <v>291</v>
      </c>
      <c r="D67" s="7" t="s">
        <v>53</v>
      </c>
      <c r="E67" s="8">
        <f>'Booking Log'!K67</f>
        <v>22500</v>
      </c>
      <c r="F67" s="8">
        <f>'Booking Log'!L67</f>
        <v>5000</v>
      </c>
      <c r="G67" s="8">
        <f>'Booking Log'!M67</f>
        <v>1000</v>
      </c>
      <c r="H67" s="8">
        <f t="shared" si="2"/>
        <v>3180</v>
      </c>
      <c r="I67" s="8">
        <f>'Booking Log'!N67</f>
        <v>26500</v>
      </c>
      <c r="J67" s="8">
        <f>'Booking Log'!O67</f>
        <v>0</v>
      </c>
      <c r="K67" s="8">
        <f t="shared" si="3"/>
        <v>26500</v>
      </c>
    </row>
    <row r="68" spans="1:11" ht="18" customHeight="1" x14ac:dyDescent="0.3">
      <c r="A68" s="2" t="s">
        <v>583</v>
      </c>
      <c r="B68" s="3" t="s">
        <v>397</v>
      </c>
      <c r="C68" s="10" t="s">
        <v>295</v>
      </c>
      <c r="D68" s="3" t="s">
        <v>75</v>
      </c>
      <c r="E68" s="4">
        <f>'Booking Log'!K68</f>
        <v>88000</v>
      </c>
      <c r="F68" s="4">
        <f>'Booking Log'!L68</f>
        <v>15000</v>
      </c>
      <c r="G68" s="4">
        <f>'Booking Log'!M68</f>
        <v>4000</v>
      </c>
      <c r="H68" s="4">
        <f t="shared" ref="H68:H83" si="4">ROUND((E68+F68-G68)*0.12,2)</f>
        <v>11880</v>
      </c>
      <c r="I68" s="4">
        <f>'Booking Log'!N68</f>
        <v>99000</v>
      </c>
      <c r="J68" s="4">
        <f>'Booking Log'!O68</f>
        <v>79200</v>
      </c>
      <c r="K68" s="4">
        <f t="shared" ref="K68:K83" si="5">I68-J68</f>
        <v>19800</v>
      </c>
    </row>
    <row r="69" spans="1:11" ht="18" customHeight="1" x14ac:dyDescent="0.3">
      <c r="A69" s="6" t="s">
        <v>584</v>
      </c>
      <c r="B69" s="7" t="s">
        <v>398</v>
      </c>
      <c r="C69" s="12" t="s">
        <v>312</v>
      </c>
      <c r="D69" s="7" t="s">
        <v>69</v>
      </c>
      <c r="E69" s="8">
        <f>'Booking Log'!K69</f>
        <v>36000</v>
      </c>
      <c r="F69" s="8">
        <f>'Booking Log'!L69</f>
        <v>0</v>
      </c>
      <c r="G69" s="8">
        <f>'Booking Log'!M69</f>
        <v>1500</v>
      </c>
      <c r="H69" s="8">
        <f t="shared" si="4"/>
        <v>4140</v>
      </c>
      <c r="I69" s="8">
        <f>'Booking Log'!N69</f>
        <v>34500</v>
      </c>
      <c r="J69" s="8">
        <f>'Booking Log'!O69</f>
        <v>34500</v>
      </c>
      <c r="K69" s="8">
        <f t="shared" si="5"/>
        <v>0</v>
      </c>
    </row>
    <row r="70" spans="1:11" ht="18" customHeight="1" x14ac:dyDescent="0.3">
      <c r="A70" s="2" t="s">
        <v>585</v>
      </c>
      <c r="B70" s="3" t="s">
        <v>399</v>
      </c>
      <c r="C70" s="10" t="s">
        <v>341</v>
      </c>
      <c r="D70" s="3" t="s">
        <v>62</v>
      </c>
      <c r="E70" s="4">
        <f>'Booking Log'!K70</f>
        <v>20800</v>
      </c>
      <c r="F70" s="4">
        <f>'Booking Log'!L70</f>
        <v>5000</v>
      </c>
      <c r="G70" s="4">
        <f>'Booking Log'!M70</f>
        <v>0</v>
      </c>
      <c r="H70" s="4">
        <f t="shared" si="4"/>
        <v>3096</v>
      </c>
      <c r="I70" s="4">
        <f>'Booking Log'!N70</f>
        <v>25800</v>
      </c>
      <c r="J70" s="4">
        <f>'Booking Log'!O70</f>
        <v>0</v>
      </c>
      <c r="K70" s="4">
        <f t="shared" si="5"/>
        <v>25800</v>
      </c>
    </row>
    <row r="71" spans="1:11" ht="18" customHeight="1" x14ac:dyDescent="0.3">
      <c r="A71" s="6" t="s">
        <v>586</v>
      </c>
      <c r="B71" s="7" t="s">
        <v>400</v>
      </c>
      <c r="C71" s="12" t="s">
        <v>343</v>
      </c>
      <c r="D71" s="7" t="s">
        <v>86</v>
      </c>
      <c r="E71" s="8">
        <f>'Booking Log'!K71</f>
        <v>16500</v>
      </c>
      <c r="F71" s="8">
        <f>'Booking Log'!L71</f>
        <v>2000</v>
      </c>
      <c r="G71" s="8">
        <f>'Booking Log'!M71</f>
        <v>0</v>
      </c>
      <c r="H71" s="8">
        <f t="shared" si="4"/>
        <v>2220</v>
      </c>
      <c r="I71" s="8">
        <f>'Booking Log'!N71</f>
        <v>18500</v>
      </c>
      <c r="J71" s="8">
        <f>'Booking Log'!O71</f>
        <v>18500</v>
      </c>
      <c r="K71" s="8">
        <f t="shared" si="5"/>
        <v>0</v>
      </c>
    </row>
    <row r="72" spans="1:11" ht="18" customHeight="1" x14ac:dyDescent="0.3">
      <c r="A72" s="2" t="s">
        <v>587</v>
      </c>
      <c r="B72" s="3" t="s">
        <v>401</v>
      </c>
      <c r="C72" s="10" t="s">
        <v>304</v>
      </c>
      <c r="D72" s="3" t="s">
        <v>75</v>
      </c>
      <c r="E72" s="4">
        <f>'Booking Log'!K72</f>
        <v>54000</v>
      </c>
      <c r="F72" s="4">
        <f>'Booking Log'!L72</f>
        <v>10000</v>
      </c>
      <c r="G72" s="4">
        <f>'Booking Log'!M72</f>
        <v>2000</v>
      </c>
      <c r="H72" s="4">
        <f t="shared" si="4"/>
        <v>7440</v>
      </c>
      <c r="I72" s="4">
        <f>'Booking Log'!N72</f>
        <v>62000</v>
      </c>
      <c r="J72" s="4">
        <f>'Booking Log'!O72</f>
        <v>49600</v>
      </c>
      <c r="K72" s="4">
        <f t="shared" si="5"/>
        <v>12400</v>
      </c>
    </row>
    <row r="73" spans="1:11" ht="18" customHeight="1" x14ac:dyDescent="0.3">
      <c r="A73" s="6" t="s">
        <v>588</v>
      </c>
      <c r="B73" s="7" t="s">
        <v>402</v>
      </c>
      <c r="C73" s="12" t="s">
        <v>324</v>
      </c>
      <c r="D73" s="7" t="s">
        <v>53</v>
      </c>
      <c r="E73" s="8">
        <f>'Booking Log'!K73</f>
        <v>19500</v>
      </c>
      <c r="F73" s="8">
        <f>'Booking Log'!L73</f>
        <v>0</v>
      </c>
      <c r="G73" s="8">
        <f>'Booking Log'!M73</f>
        <v>500</v>
      </c>
      <c r="H73" s="8">
        <f t="shared" si="4"/>
        <v>2280</v>
      </c>
      <c r="I73" s="8">
        <f>'Booking Log'!N73</f>
        <v>19000</v>
      </c>
      <c r="J73" s="8">
        <f>'Booking Log'!O73</f>
        <v>19000</v>
      </c>
      <c r="K73" s="8">
        <f t="shared" si="5"/>
        <v>0</v>
      </c>
    </row>
    <row r="74" spans="1:11" ht="18" customHeight="1" x14ac:dyDescent="0.3">
      <c r="A74" s="2" t="s">
        <v>589</v>
      </c>
      <c r="B74" s="3" t="s">
        <v>403</v>
      </c>
      <c r="C74" s="10" t="s">
        <v>307</v>
      </c>
      <c r="D74" s="3" t="s">
        <v>69</v>
      </c>
      <c r="E74" s="4">
        <f>'Booking Log'!K74</f>
        <v>31500</v>
      </c>
      <c r="F74" s="4">
        <f>'Booking Log'!L74</f>
        <v>8000</v>
      </c>
      <c r="G74" s="4">
        <f>'Booking Log'!M74</f>
        <v>2000</v>
      </c>
      <c r="H74" s="4">
        <f t="shared" si="4"/>
        <v>4500</v>
      </c>
      <c r="I74" s="4">
        <f>'Booking Log'!N74</f>
        <v>37500</v>
      </c>
      <c r="J74" s="4">
        <f>'Booking Log'!O74</f>
        <v>37500</v>
      </c>
      <c r="K74" s="4">
        <f t="shared" si="5"/>
        <v>0</v>
      </c>
    </row>
    <row r="75" spans="1:11" ht="18" customHeight="1" x14ac:dyDescent="0.3">
      <c r="A75" s="6" t="s">
        <v>590</v>
      </c>
      <c r="B75" s="7" t="s">
        <v>404</v>
      </c>
      <c r="C75" s="12" t="s">
        <v>309</v>
      </c>
      <c r="D75" s="7" t="s">
        <v>66</v>
      </c>
      <c r="E75" s="8">
        <f>'Booking Log'!K75</f>
        <v>29400</v>
      </c>
      <c r="F75" s="8">
        <f>'Booking Log'!L75</f>
        <v>4800</v>
      </c>
      <c r="G75" s="8">
        <f>'Booking Log'!M75</f>
        <v>1500</v>
      </c>
      <c r="H75" s="8">
        <f t="shared" si="4"/>
        <v>3924</v>
      </c>
      <c r="I75" s="8">
        <f>'Booking Log'!N75</f>
        <v>32700</v>
      </c>
      <c r="J75" s="8">
        <f>'Booking Log'!O75</f>
        <v>32700</v>
      </c>
      <c r="K75" s="8">
        <f t="shared" si="5"/>
        <v>0</v>
      </c>
    </row>
    <row r="76" spans="1:11" ht="18" customHeight="1" x14ac:dyDescent="0.3">
      <c r="A76" s="2" t="s">
        <v>591</v>
      </c>
      <c r="B76" s="3" t="s">
        <v>405</v>
      </c>
      <c r="C76" s="10" t="s">
        <v>297</v>
      </c>
      <c r="D76" s="3" t="s">
        <v>75</v>
      </c>
      <c r="E76" s="4">
        <f>'Booking Log'!K76</f>
        <v>112000</v>
      </c>
      <c r="F76" s="4">
        <f>'Booking Log'!L76</f>
        <v>25000</v>
      </c>
      <c r="G76" s="4">
        <f>'Booking Log'!M76</f>
        <v>5000</v>
      </c>
      <c r="H76" s="4">
        <f t="shared" si="4"/>
        <v>15840</v>
      </c>
      <c r="I76" s="4">
        <f>'Booking Log'!N76</f>
        <v>132000</v>
      </c>
      <c r="J76" s="4">
        <f>'Booking Log'!O76</f>
        <v>132000</v>
      </c>
      <c r="K76" s="4">
        <f t="shared" si="5"/>
        <v>0</v>
      </c>
    </row>
    <row r="77" spans="1:11" ht="18" customHeight="1" x14ac:dyDescent="0.3">
      <c r="A77" s="6" t="s">
        <v>592</v>
      </c>
      <c r="B77" s="7" t="s">
        <v>406</v>
      </c>
      <c r="C77" s="12" t="s">
        <v>363</v>
      </c>
      <c r="D77" s="7" t="s">
        <v>57</v>
      </c>
      <c r="E77" s="8">
        <f>'Booking Log'!K77</f>
        <v>21000</v>
      </c>
      <c r="F77" s="8">
        <f>'Booking Log'!L77</f>
        <v>5400</v>
      </c>
      <c r="G77" s="8">
        <f>'Booking Log'!M77</f>
        <v>800</v>
      </c>
      <c r="H77" s="8">
        <f t="shared" si="4"/>
        <v>3072</v>
      </c>
      <c r="I77" s="8">
        <f>'Booking Log'!N77</f>
        <v>25600</v>
      </c>
      <c r="J77" s="8">
        <f>'Booking Log'!O77</f>
        <v>12800</v>
      </c>
      <c r="K77" s="8">
        <f t="shared" si="5"/>
        <v>12800</v>
      </c>
    </row>
    <row r="78" spans="1:11" ht="18" customHeight="1" x14ac:dyDescent="0.3">
      <c r="A78" s="2" t="s">
        <v>593</v>
      </c>
      <c r="B78" s="3" t="s">
        <v>407</v>
      </c>
      <c r="C78" s="10" t="s">
        <v>328</v>
      </c>
      <c r="D78" s="3" t="s">
        <v>87</v>
      </c>
      <c r="E78" s="4">
        <f>'Booking Log'!K78</f>
        <v>30000</v>
      </c>
      <c r="F78" s="4">
        <f>'Booking Log'!L78</f>
        <v>5000</v>
      </c>
      <c r="G78" s="4">
        <f>'Booking Log'!M78</f>
        <v>1000</v>
      </c>
      <c r="H78" s="4">
        <f t="shared" si="4"/>
        <v>4080</v>
      </c>
      <c r="I78" s="4">
        <f>'Booking Log'!N78</f>
        <v>34000</v>
      </c>
      <c r="J78" s="4">
        <f>'Booking Log'!O78</f>
        <v>34000</v>
      </c>
      <c r="K78" s="4">
        <f t="shared" si="5"/>
        <v>0</v>
      </c>
    </row>
    <row r="79" spans="1:11" ht="18" customHeight="1" x14ac:dyDescent="0.3">
      <c r="A79" s="6" t="s">
        <v>594</v>
      </c>
      <c r="B79" s="7" t="s">
        <v>409</v>
      </c>
      <c r="C79" s="12" t="s">
        <v>332</v>
      </c>
      <c r="D79" s="7" t="s">
        <v>47</v>
      </c>
      <c r="E79" s="8">
        <f>'Booking Log'!K79</f>
        <v>8400</v>
      </c>
      <c r="F79" s="8">
        <f>'Booking Log'!L79</f>
        <v>1200</v>
      </c>
      <c r="G79" s="8">
        <f>'Booking Log'!M79</f>
        <v>0</v>
      </c>
      <c r="H79" s="8">
        <f t="shared" si="4"/>
        <v>1152</v>
      </c>
      <c r="I79" s="8">
        <f>'Booking Log'!N79</f>
        <v>9600</v>
      </c>
      <c r="J79" s="8">
        <f>'Booking Log'!O79</f>
        <v>0</v>
      </c>
      <c r="K79" s="8">
        <f t="shared" si="5"/>
        <v>9600</v>
      </c>
    </row>
    <row r="80" spans="1:11" ht="18" customHeight="1" x14ac:dyDescent="0.3">
      <c r="A80" s="2" t="s">
        <v>595</v>
      </c>
      <c r="B80" s="3" t="s">
        <v>410</v>
      </c>
      <c r="C80" s="10" t="s">
        <v>295</v>
      </c>
      <c r="D80" s="3" t="s">
        <v>75</v>
      </c>
      <c r="E80" s="4">
        <f>'Booking Log'!K80</f>
        <v>72000</v>
      </c>
      <c r="F80" s="4">
        <f>'Booking Log'!L80</f>
        <v>30000</v>
      </c>
      <c r="G80" s="4">
        <f>'Booking Log'!M80</f>
        <v>6000</v>
      </c>
      <c r="H80" s="4">
        <f t="shared" si="4"/>
        <v>11520</v>
      </c>
      <c r="I80" s="4">
        <f>'Booking Log'!N80</f>
        <v>96000</v>
      </c>
      <c r="J80" s="4">
        <f>'Booking Log'!O80</f>
        <v>67200</v>
      </c>
      <c r="K80" s="4">
        <f t="shared" si="5"/>
        <v>28800</v>
      </c>
    </row>
    <row r="81" spans="1:11" ht="18" customHeight="1" x14ac:dyDescent="0.3">
      <c r="A81" s="6" t="s">
        <v>596</v>
      </c>
      <c r="B81" s="7" t="s">
        <v>411</v>
      </c>
      <c r="C81" s="12" t="s">
        <v>321</v>
      </c>
      <c r="D81" s="7" t="s">
        <v>69</v>
      </c>
      <c r="E81" s="8">
        <f>'Booking Log'!K81</f>
        <v>31500</v>
      </c>
      <c r="F81" s="8">
        <f>'Booking Log'!L81</f>
        <v>8000</v>
      </c>
      <c r="G81" s="8">
        <f>'Booking Log'!M81</f>
        <v>2000</v>
      </c>
      <c r="H81" s="8">
        <f t="shared" si="4"/>
        <v>4500</v>
      </c>
      <c r="I81" s="8">
        <f>'Booking Log'!N81</f>
        <v>37500</v>
      </c>
      <c r="J81" s="8">
        <f>'Booking Log'!O81</f>
        <v>37500</v>
      </c>
      <c r="K81" s="8">
        <f t="shared" si="5"/>
        <v>0</v>
      </c>
    </row>
    <row r="82" spans="1:11" ht="18" customHeight="1" x14ac:dyDescent="0.3">
      <c r="A82" s="2" t="s">
        <v>597</v>
      </c>
      <c r="B82" s="3" t="s">
        <v>412</v>
      </c>
      <c r="C82" s="10" t="s">
        <v>291</v>
      </c>
      <c r="D82" s="3" t="s">
        <v>87</v>
      </c>
      <c r="E82" s="4">
        <f>'Booking Log'!K82</f>
        <v>21000</v>
      </c>
      <c r="F82" s="4">
        <f>'Booking Log'!L82</f>
        <v>4000</v>
      </c>
      <c r="G82" s="4">
        <f>'Booking Log'!M82</f>
        <v>1000</v>
      </c>
      <c r="H82" s="4">
        <f t="shared" si="4"/>
        <v>2880</v>
      </c>
      <c r="I82" s="4">
        <f>'Booking Log'!N82</f>
        <v>24000</v>
      </c>
      <c r="J82" s="4">
        <f>'Booking Log'!O82</f>
        <v>24000</v>
      </c>
      <c r="K82" s="4">
        <f t="shared" si="5"/>
        <v>0</v>
      </c>
    </row>
    <row r="83" spans="1:11" ht="18" customHeight="1" x14ac:dyDescent="0.3">
      <c r="A83" s="6" t="s">
        <v>598</v>
      </c>
      <c r="B83" s="7" t="s">
        <v>413</v>
      </c>
      <c r="C83" s="12" t="s">
        <v>312</v>
      </c>
      <c r="D83" s="7" t="s">
        <v>75</v>
      </c>
      <c r="E83" s="8">
        <f>'Booking Log'!K83</f>
        <v>54000</v>
      </c>
      <c r="F83" s="8">
        <f>'Booking Log'!L83</f>
        <v>12000</v>
      </c>
      <c r="G83" s="8">
        <f>'Booking Log'!M83</f>
        <v>3000</v>
      </c>
      <c r="H83" s="8">
        <f t="shared" si="4"/>
        <v>7560</v>
      </c>
      <c r="I83" s="8">
        <f>'Booking Log'!N83</f>
        <v>63000</v>
      </c>
      <c r="J83" s="8">
        <f>'Booking Log'!O83</f>
        <v>63000</v>
      </c>
      <c r="K83" s="8">
        <f t="shared" si="5"/>
        <v>0</v>
      </c>
    </row>
  </sheetData>
  <autoFilter ref="A3:K83"/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Room Directory</vt:lpstr>
      <vt:lpstr>Guest Master List</vt:lpstr>
      <vt:lpstr>Booking Log</vt:lpstr>
      <vt:lpstr>Housekeeping</vt:lpstr>
      <vt:lpstr>Revenue Dashboard</vt:lpstr>
      <vt:lpstr>Billing &amp; Folio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1</cp:revision>
  <dcterms:created xsi:type="dcterms:W3CDTF">2026-04-23T13:52:56Z</dcterms:created>
  <dcterms:modified xsi:type="dcterms:W3CDTF">2026-04-27T06:35:04Z</dcterms:modified>
  <dc:language>en-US</dc:language>
</cp:coreProperties>
</file>